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osal Summary" sheetId="1" state="visible" r:id="rId1"/>
    <sheet name="Fee Schedule" sheetId="2" state="visible" r:id="rId2"/>
    <sheet name="Deliverables" sheetId="3" state="visible" r:id="rId3"/>
    <sheet name="Price Book" sheetId="4" state="visible" r:id="rId4"/>
    <sheet name="How to Use" sheetId="5" state="visible" r:id="rId5"/>
  </sheets>
  <definedNames>
    <definedName name="CatalogNames">'Price Book'!$A$6:$A$77</definedName>
    <definedName name="CatalogType">'Price Book'!$B$6:$B$77</definedName>
    <definedName name="CatalogGroup">'Price Book'!$C$6:$C$77</definedName>
    <definedName name="CatalogUnit">'Price Book'!$D$6:$D$77</definedName>
    <definedName name="CatalogPrice">'Price Book'!$E$6:$E$77</definedName>
    <definedName name="CatalogDesc">'Price Book'!$F$6:$F$77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;($#,##0.00);&quot;—&quot;"/>
    <numFmt numFmtId="165" formatCode="#,##0.##"/>
    <numFmt numFmtId="166" formatCode="0.0%"/>
  </numFmts>
  <fonts count="14">
    <font>
      <name val="Calibri"/>
      <family val="2"/>
      <color theme="1"/>
      <sz val="11"/>
      <scheme val="minor"/>
    </font>
    <font>
      <name val="Arial"/>
      <b val="1"/>
      <color rgb="000C3450"/>
      <sz val="16"/>
    </font>
    <font>
      <name val="Arial"/>
      <i val="1"/>
      <color rgb="005D6F7D"/>
      <sz val="9"/>
    </font>
    <font>
      <name val="Arial"/>
      <b val="1"/>
      <color rgb="00FFFFFF"/>
      <sz val="9"/>
    </font>
    <font>
      <name val="Arial"/>
      <b val="1"/>
      <color rgb="0016242F"/>
      <sz val="9"/>
    </font>
    <font>
      <name val="Arial"/>
      <color rgb="005D6F7D"/>
      <sz val="9"/>
    </font>
    <font>
      <name val="Arial"/>
      <color rgb="0016242F"/>
      <sz val="9"/>
    </font>
    <font>
      <name val="Arial"/>
      <color rgb="000000FF"/>
      <sz val="10"/>
    </font>
    <font>
      <name val="Arial"/>
      <color rgb="0016242F"/>
      <sz val="10"/>
    </font>
    <font>
      <name val="Arial"/>
      <b val="1"/>
      <color rgb="0016242F"/>
      <sz val="10"/>
    </font>
    <font>
      <name val="Arial"/>
      <b val="1"/>
      <color rgb="000C3450"/>
      <sz val="10"/>
    </font>
    <font>
      <name val="Arial"/>
      <b val="1"/>
      <color rgb="000C3450"/>
      <sz val="12"/>
    </font>
    <font>
      <name val="Arial"/>
      <b val="1"/>
      <color rgb="000C3450"/>
      <sz val="11"/>
    </font>
    <font>
      <name val="Arial"/>
      <i val="1"/>
      <color rgb="005D6F7D"/>
      <sz val="8"/>
    </font>
  </fonts>
  <fills count="7">
    <fill>
      <patternFill/>
    </fill>
    <fill>
      <patternFill patternType="gray125"/>
    </fill>
    <fill>
      <patternFill patternType="solid">
        <fgColor rgb="00DCA23A"/>
      </patternFill>
    </fill>
    <fill>
      <patternFill patternType="solid">
        <fgColor rgb="000C3450"/>
      </patternFill>
    </fill>
    <fill>
      <patternFill patternType="solid">
        <fgColor rgb="00F1F6FA"/>
      </patternFill>
    </fill>
    <fill>
      <patternFill patternType="solid">
        <fgColor rgb="00FBF2DD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BE2E9"/>
      </left>
      <right style="thin">
        <color rgb="00DBE2E9"/>
      </right>
      <top style="thin">
        <color rgb="00DBE2E9"/>
      </top>
      <bottom style="thin">
        <color rgb="00DBE2E9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10" fillId="0" borderId="0" pivotButton="0" quotePrefix="0" xfId="0"/>
    <xf numFmtId="0" fontId="8" fillId="0" borderId="0" pivotButton="0" quotePrefix="0" xfId="0"/>
    <xf numFmtId="0" fontId="7" fillId="6" borderId="1" pivotButton="0" quotePrefix="0" xfId="0"/>
    <xf numFmtId="0" fontId="7" fillId="0" borderId="1" pivotButton="0" quotePrefix="0" xfId="0"/>
    <xf numFmtId="166" fontId="7" fillId="0" borderId="1" pivotButton="0" quotePrefix="0" xfId="0"/>
    <xf numFmtId="164" fontId="8" fillId="0" borderId="1" pivotButton="0" quotePrefix="0" xfId="0"/>
    <xf numFmtId="0" fontId="9" fillId="0" borderId="0" pivotButton="0" quotePrefix="0" xfId="0"/>
    <xf numFmtId="164" fontId="11" fillId="5" borderId="1" pivotButton="0" quotePrefix="0" xfId="0"/>
    <xf numFmtId="0" fontId="5" fillId="0" borderId="0" pivotButton="0" quotePrefix="0" xfId="0"/>
    <xf numFmtId="0" fontId="3" fillId="3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/>
    </xf>
    <xf numFmtId="0" fontId="5" fillId="0" borderId="1" pivotButton="0" quotePrefix="0" xfId="0"/>
    <xf numFmtId="0" fontId="7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164" fontId="7" fillId="0" borderId="1" pivotButton="0" quotePrefix="0" xfId="0"/>
    <xf numFmtId="164" fontId="9" fillId="0" borderId="1" pivotButton="0" quotePrefix="0" xfId="0"/>
    <xf numFmtId="0" fontId="9" fillId="0" borderId="0" applyAlignment="1" pivotButton="0" quotePrefix="0" xfId="0">
      <alignment horizontal="right"/>
    </xf>
    <xf numFmtId="164" fontId="9" fillId="5" borderId="1" pivotButton="0" quotePrefix="0" xfId="0"/>
    <xf numFmtId="0" fontId="8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top"/>
    </xf>
    <xf numFmtId="0" fontId="8" fillId="4" borderId="1" applyAlignment="1" pivotButton="0" quotePrefix="0" xfId="0">
      <alignment horizontal="center"/>
    </xf>
    <xf numFmtId="0" fontId="7" fillId="4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top"/>
    </xf>
    <xf numFmtId="0" fontId="9" fillId="0" borderId="1" pivotButton="0" quotePrefix="0" xfId="0"/>
    <xf numFmtId="0" fontId="8" fillId="0" borderId="0" applyAlignment="1" pivotButton="0" quotePrefix="0" xfId="0">
      <alignment horizontal="right"/>
    </xf>
    <xf numFmtId="0" fontId="8" fillId="0" borderId="1" pivotButton="0" quotePrefix="0" xfId="0"/>
    <xf numFmtId="0" fontId="4" fillId="0" borderId="1" pivotButton="0" quotePrefix="0" xfId="0"/>
    <xf numFmtId="164" fontId="6" fillId="0" borderId="1" pivotButton="0" quotePrefix="0" xfId="0"/>
    <xf numFmtId="0" fontId="4" fillId="4" borderId="1" pivotButton="0" quotePrefix="0" xfId="0"/>
    <xf numFmtId="0" fontId="5" fillId="4" borderId="1" pivotButton="0" quotePrefix="0" xfId="0"/>
    <xf numFmtId="164" fontId="6" fillId="4" borderId="1" pivotButton="0" quotePrefix="0" xfId="0"/>
    <xf numFmtId="0" fontId="6" fillId="4" borderId="1" applyAlignment="1" pivotButton="0" quotePrefix="0" xfId="0">
      <alignment vertical="top" wrapText="1"/>
    </xf>
    <xf numFmtId="0" fontId="12" fillId="0" borderId="0" pivotButton="0" quotePrefix="0" xfId="0"/>
    <xf numFmtId="0" fontId="8" fillId="0" borderId="0" applyAlignment="1" pivotButton="0" quotePrefix="0" xfId="0">
      <alignment vertical="top" wrapText="1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Reliance Predictive Safety Technologies</author>
  </authors>
  <commentList>
    <comment ref="B23" authorId="0" shapeId="0">
      <text>
        <t>Applied to the subtotal. Tax is charged on the discounted figure, matching the platform's proposal math.</t>
      </text>
    </comment>
    <comment ref="B25" authorId="0" shapeId="0">
      <text>
        <t>A percentage of the TOTAL, not of the subtotal.</t>
      </text>
    </comment>
  </commentList>
</comments>
</file>

<file path=xl/comments/comment2.xml><?xml version="1.0" encoding="utf-8"?>
<comments xmlns="http://schemas.openxmlformats.org/spreadsheetml/2006/main">
  <authors>
    <author>Reliance Predictive Safety Technologies</author>
  </authors>
  <commentList>
    <comment ref="I52" authorId="0" shapeId="0">
      <text>
        <t>Sum of the ROUNDED line amounts, matching computeProposalTotals() in lib/proposals/pricing.ts — the client adds up the printed rows, so the subtotal has to agree with them to the cent.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4" customWidth="1" min="3" max="3"/>
  </cols>
  <sheetData>
    <row r="1">
      <c r="A1" s="1" t="inlineStr">
        <is>
          <t>Proposal — Deliverables &amp; Fee Schedule</t>
        </is>
      </c>
    </row>
    <row r="2">
      <c r="A2" s="2" t="inlineStr">
        <is>
          <t>Reliance Predictive Safety Technologies · working copy for review and markup</t>
        </is>
      </c>
    </row>
    <row r="3" ht="3" customHeight="1">
      <c r="A3" s="3" t="n"/>
      <c r="B3" s="3" t="n"/>
      <c r="C3" s="3" t="n"/>
      <c r="D3" s="3" t="n"/>
    </row>
    <row r="5">
      <c r="A5" s="4" t="inlineStr">
        <is>
          <t>PROPOSAL DETAILS</t>
        </is>
      </c>
    </row>
    <row r="6">
      <c r="A6" s="5" t="inlineStr">
        <is>
          <t>Proposal number</t>
        </is>
      </c>
      <c r="B6" s="6" t="n"/>
    </row>
    <row r="7">
      <c r="A7" s="5" t="inlineStr">
        <is>
          <t>Proposal date</t>
        </is>
      </c>
      <c r="B7" s="6" t="n"/>
    </row>
    <row r="8">
      <c r="A8" s="5" t="inlineStr">
        <is>
          <t>Prepared by</t>
        </is>
      </c>
      <c r="B8" s="6" t="n"/>
    </row>
    <row r="9">
      <c r="A9" s="5" t="inlineStr">
        <is>
          <t>Valid until</t>
        </is>
      </c>
      <c r="B9" s="6" t="n"/>
    </row>
    <row r="11">
      <c r="A11" s="5" t="inlineStr">
        <is>
          <t>Client company</t>
        </is>
      </c>
      <c r="B11" s="6" t="n"/>
    </row>
    <row r="12">
      <c r="A12" s="5" t="inlineStr">
        <is>
          <t>Client address</t>
        </is>
      </c>
      <c r="B12" s="7" t="n"/>
    </row>
    <row r="13">
      <c r="A13" s="5" t="inlineStr">
        <is>
          <t>Client contact</t>
        </is>
      </c>
      <c r="B13" s="7" t="n"/>
    </row>
    <row r="14">
      <c r="A14" s="5" t="inlineStr">
        <is>
          <t>Contact email</t>
        </is>
      </c>
      <c r="B14" s="7" t="n"/>
    </row>
    <row r="16">
      <c r="A16" s="5" t="inlineStr">
        <is>
          <t>Engagement term start</t>
        </is>
      </c>
      <c r="B16" s="7" t="n"/>
    </row>
    <row r="17">
      <c r="A17" s="5" t="inlineStr">
        <is>
          <t>Engagement term end</t>
        </is>
      </c>
      <c r="B17" s="7" t="n"/>
    </row>
    <row r="18">
      <c r="A18" s="5" t="inlineStr">
        <is>
          <t>Term (months)</t>
        </is>
      </c>
      <c r="B18" s="7" t="n">
        <v>12</v>
      </c>
    </row>
    <row r="19">
      <c r="A19" s="5" t="inlineStr">
        <is>
          <t>Included users</t>
        </is>
      </c>
      <c r="B19" s="7" t="n">
        <v>50</v>
      </c>
    </row>
    <row r="20">
      <c r="A20" s="5" t="inlineStr">
        <is>
          <t>Included jobsites</t>
        </is>
      </c>
      <c r="B20" s="7" t="n">
        <v>5</v>
      </c>
    </row>
    <row r="22">
      <c r="A22" s="4" t="inlineStr">
        <is>
          <t>COMMERCIAL TERMS</t>
        </is>
      </c>
    </row>
    <row r="23">
      <c r="A23" s="5" t="inlineStr">
        <is>
          <t>Discount %</t>
        </is>
      </c>
      <c r="B23" s="8" t="n">
        <v>0</v>
      </c>
    </row>
    <row r="24">
      <c r="A24" s="5" t="inlineStr">
        <is>
          <t>Tax %</t>
        </is>
      </c>
      <c r="B24" s="8" t="n">
        <v>0</v>
      </c>
    </row>
    <row r="25">
      <c r="A25" s="5" t="inlineStr">
        <is>
          <t>Deposit % due at acceptance</t>
        </is>
      </c>
      <c r="B25" s="8" t="n">
        <v>0.25</v>
      </c>
    </row>
    <row r="27">
      <c r="A27" s="4" t="inlineStr">
        <is>
          <t>TOTALS</t>
        </is>
      </c>
    </row>
    <row r="28">
      <c r="A28" s="5" t="inlineStr">
        <is>
          <t>Subtotal</t>
        </is>
      </c>
      <c r="B28" s="9">
        <f>'Fee Schedule'!$I$52</f>
        <v/>
      </c>
    </row>
    <row r="29">
      <c r="A29" s="5" t="inlineStr">
        <is>
          <t>Discount</t>
        </is>
      </c>
      <c r="B29" s="9">
        <f>-ROUND($B$28*$B$23,2)</f>
        <v/>
      </c>
    </row>
    <row r="30">
      <c r="A30" s="5" t="inlineStr">
        <is>
          <t>Taxable amount</t>
        </is>
      </c>
      <c r="B30" s="9">
        <f>$B$28+$B$29</f>
        <v/>
      </c>
    </row>
    <row r="31">
      <c r="A31" s="5" t="inlineStr">
        <is>
          <t>Tax</t>
        </is>
      </c>
      <c r="B31" s="9">
        <f>ROUND($B$30*$B$24,2)</f>
        <v/>
      </c>
    </row>
    <row r="32">
      <c r="A32" s="10" t="inlineStr">
        <is>
          <t>Total</t>
        </is>
      </c>
      <c r="B32" s="11">
        <f>$B$30+$B$31</f>
        <v/>
      </c>
    </row>
    <row r="33">
      <c r="A33" s="5" t="inlineStr">
        <is>
          <t>Deposit due at acceptance</t>
        </is>
      </c>
      <c r="B33" s="9">
        <f>ROUND($B$32*$B$25,2)</f>
        <v/>
      </c>
    </row>
    <row r="34">
      <c r="A34" s="5" t="inlineStr">
        <is>
          <t>Balance on completion</t>
        </is>
      </c>
      <c r="B34" s="9">
        <f>$B$32-$B$33</f>
        <v/>
      </c>
    </row>
    <row r="37">
      <c r="A37" s="4" t="inlineStr">
        <is>
          <t>HOW TO READ THIS FILE</t>
        </is>
      </c>
    </row>
    <row r="38">
      <c r="A38" s="12" t="inlineStr">
        <is>
          <t>·  Blue text = type here. Black text = calculated, leave it alone.</t>
        </is>
      </c>
    </row>
    <row r="39">
      <c r="A39" s="12" t="inlineStr">
        <is>
          <t>·  Yellow cells must be filled in before this goes to a client.</t>
        </is>
      </c>
    </row>
    <row r="40">
      <c r="A40" s="12" t="inlineStr">
        <is>
          <t>·  Fee Schedule is where the money is set. Deliverables is what we owe for it.</t>
        </is>
      </c>
    </row>
    <row r="41">
      <c r="A41" s="12" t="inlineStr">
        <is>
          <t>·  Every figure on this sheet comes from the Fee Schedule — change a quantity there and the total follows.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5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0" customWidth="1" min="3" max="3"/>
    <col width="74" customWidth="1" min="4" max="4"/>
    <col width="10" customWidth="1" min="5" max="5"/>
    <col width="8" customWidth="1" min="6" max="6"/>
    <col width="14" customWidth="1" min="7" max="7"/>
    <col width="15" customWidth="1" min="8" max="8"/>
    <col width="16" customWidth="1" min="9" max="9"/>
  </cols>
  <sheetData>
    <row r="1">
      <c r="A1" s="1" t="inlineStr">
        <is>
          <t>Schedule of Fees</t>
        </is>
      </c>
    </row>
    <row r="2">
      <c r="A2" s="2" t="inlineStr">
        <is>
          <t>EDIT THIS SHEET. Blue cells are yours to change. Pick a line item from the dropdown and the unit, list price and scope fill themselves in.</t>
        </is>
      </c>
    </row>
    <row r="3" ht="3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5" ht="30" customHeight="1">
      <c r="A5" s="13" t="inlineStr">
        <is>
          <t>Include?
(Y / N)</t>
        </is>
      </c>
      <c r="B5" s="13" t="inlineStr">
        <is>
          <t>Group</t>
        </is>
      </c>
      <c r="C5" s="13" t="inlineStr">
        <is>
          <t>Line Item
(pick from list)</t>
        </is>
      </c>
      <c r="D5" s="13" t="inlineStr">
        <is>
          <t>Scope / Description
(type over to tailor)</t>
        </is>
      </c>
      <c r="E5" s="13" t="inlineStr">
        <is>
          <t>Unit</t>
        </is>
      </c>
      <c r="F5" s="13" t="inlineStr">
        <is>
          <t>Qty</t>
        </is>
      </c>
      <c r="G5" s="13" t="inlineStr">
        <is>
          <t>List Price</t>
        </is>
      </c>
      <c r="H5" s="13" t="inlineStr">
        <is>
          <t>Agreed Price
(blank = list)</t>
        </is>
      </c>
      <c r="I5" s="13" t="inlineStr">
        <is>
          <t>Line Total</t>
        </is>
      </c>
    </row>
    <row r="6" ht="34" customHeight="1">
      <c r="A6" s="14" t="inlineStr">
        <is>
          <t>Y</t>
        </is>
      </c>
      <c r="B6" s="15">
        <f>IF($C6="","",IFERROR(INDEX(CatalogGroup,MATCH($C6,CatalogNames,0)),"Custom"))</f>
        <v/>
      </c>
      <c r="C6" s="16" t="inlineStr">
        <is>
          <t>Professional Safety Intelligence</t>
        </is>
      </c>
      <c r="D6" s="17">
        <f>IF($C6="","",IFERROR(INDEX(CatalogDesc,MATCH($C6,CatalogNames,0)),""))</f>
        <v/>
      </c>
      <c r="E6" s="18">
        <f>IF($C6="","",IFERROR(INDEX(CatalogUnit,MATCH($C6,CatalogNames,0)),"Unit"))</f>
        <v/>
      </c>
      <c r="F6" s="19" t="n">
        <v>1</v>
      </c>
      <c r="G6" s="9">
        <f>IF($C6="","",IFERROR(INDEX(CatalogPrice,MATCH($C6,CatalogNames,0)),0))</f>
        <v/>
      </c>
      <c r="H6" s="20" t="n"/>
      <c r="I6" s="21">
        <f>IF($C6="","",IF(UPPER($A6)="N",0,ROUND($F6*IF($H6="",$G6,$H6),2)))</f>
        <v/>
      </c>
    </row>
    <row r="7" ht="34" customHeight="1">
      <c r="A7" s="14" t="inlineStr">
        <is>
          <t>Y</t>
        </is>
      </c>
      <c r="B7" s="15">
        <f>IF($C7="","",IFERROR(INDEX(CatalogGroup,MATCH($C7,CatalogNames,0)),"Custom"))</f>
        <v/>
      </c>
      <c r="C7" s="16" t="inlineStr">
        <is>
          <t>Discovery &amp; Intake</t>
        </is>
      </c>
      <c r="D7" s="17">
        <f>IF($C7="","",IFERROR(INDEX(CatalogDesc,MATCH($C7,CatalogNames,0)),""))</f>
        <v/>
      </c>
      <c r="E7" s="18">
        <f>IF($C7="","",IFERROR(INDEX(CatalogUnit,MATCH($C7,CatalogNames,0)),"Unit"))</f>
        <v/>
      </c>
      <c r="F7" s="19" t="n">
        <v>1</v>
      </c>
      <c r="G7" s="9">
        <f>IF($C7="","",IFERROR(INDEX(CatalogPrice,MATCH($C7,CatalogNames,0)),0))</f>
        <v/>
      </c>
      <c r="H7" s="20" t="n"/>
      <c r="I7" s="21">
        <f>IF($C7="","",IF(UPPER($A7)="N",0,ROUND($F7*IF($H7="",$G7,$H7),2)))</f>
        <v/>
      </c>
    </row>
    <row r="8" ht="34" customHeight="1">
      <c r="A8" s="14" t="inlineStr">
        <is>
          <t>Y</t>
        </is>
      </c>
      <c r="B8" s="15">
        <f>IF($C8="","",IFERROR(INDEX(CatalogGroup,MATCH($C8,CatalogNames,0)),"Custom"))</f>
        <v/>
      </c>
      <c r="C8" s="16" t="inlineStr">
        <is>
          <t>Build &amp; Configure</t>
        </is>
      </c>
      <c r="D8" s="17">
        <f>IF($C8="","",IFERROR(INDEX(CatalogDesc,MATCH($C8,CatalogNames,0)),""))</f>
        <v/>
      </c>
      <c r="E8" s="18">
        <f>IF($C8="","",IFERROR(INDEX(CatalogUnit,MATCH($C8,CatalogNames,0)),"Unit"))</f>
        <v/>
      </c>
      <c r="F8" s="19" t="n">
        <v>1</v>
      </c>
      <c r="G8" s="9">
        <f>IF($C8="","",IFERROR(INDEX(CatalogPrice,MATCH($C8,CatalogNames,0)),0))</f>
        <v/>
      </c>
      <c r="H8" s="20" t="n"/>
      <c r="I8" s="21">
        <f>IF($C8="","",IF(UPPER($A8)="N",0,ROUND($F8*IF($H8="",$G8,$H8),2)))</f>
        <v/>
      </c>
    </row>
    <row r="9" ht="34" customHeight="1">
      <c r="A9" s="14" t="inlineStr">
        <is>
          <t>Y</t>
        </is>
      </c>
      <c r="B9" s="15">
        <f>IF($C9="","",IFERROR(INDEX(CatalogGroup,MATCH($C9,CatalogNames,0)),"Custom"))</f>
        <v/>
      </c>
      <c r="C9" s="16" t="inlineStr">
        <is>
          <t>Validation &amp; Review</t>
        </is>
      </c>
      <c r="D9" s="17">
        <f>IF($C9="","",IFERROR(INDEX(CatalogDesc,MATCH($C9,CatalogNames,0)),""))</f>
        <v/>
      </c>
      <c r="E9" s="18">
        <f>IF($C9="","",IFERROR(INDEX(CatalogUnit,MATCH($C9,CatalogNames,0)),"Unit"))</f>
        <v/>
      </c>
      <c r="F9" s="19" t="n">
        <v>1</v>
      </c>
      <c r="G9" s="9">
        <f>IF($C9="","",IFERROR(INDEX(CatalogPrice,MATCH($C9,CatalogNames,0)),0))</f>
        <v/>
      </c>
      <c r="H9" s="20" t="n"/>
      <c r="I9" s="21">
        <f>IF($C9="","",IF(UPPER($A9)="N",0,ROUND($F9*IF($H9="",$G9,$H9),2)))</f>
        <v/>
      </c>
    </row>
    <row r="10" ht="34" customHeight="1">
      <c r="A10" s="14" t="inlineStr">
        <is>
          <t>Y</t>
        </is>
      </c>
      <c r="B10" s="15">
        <f>IF($C10="","",IFERROR(INDEX(CatalogGroup,MATCH($C10,CatalogNames,0)),"Custom"))</f>
        <v/>
      </c>
      <c r="C10" s="16" t="inlineStr">
        <is>
          <t>Launch &amp; Training</t>
        </is>
      </c>
      <c r="D10" s="17">
        <f>IF($C10="","",IFERROR(INDEX(CatalogDesc,MATCH($C10,CatalogNames,0)),""))</f>
        <v/>
      </c>
      <c r="E10" s="18">
        <f>IF($C10="","",IFERROR(INDEX(CatalogUnit,MATCH($C10,CatalogNames,0)),"Unit"))</f>
        <v/>
      </c>
      <c r="F10" s="19" t="n">
        <v>1</v>
      </c>
      <c r="G10" s="9">
        <f>IF($C10="","",IFERROR(INDEX(CatalogPrice,MATCH($C10,CatalogNames,0)),0))</f>
        <v/>
      </c>
      <c r="H10" s="20" t="n"/>
      <c r="I10" s="21">
        <f>IF($C10="","",IF(UPPER($A10)="N",0,ROUND($F10*IF($H10="",$G10,$H10),2)))</f>
        <v/>
      </c>
    </row>
    <row r="11" ht="34" customHeight="1">
      <c r="A11" s="14" t="inlineStr">
        <is>
          <t>Y</t>
        </is>
      </c>
      <c r="B11" s="15">
        <f>IF($C11="","",IFERROR(INDEX(CatalogGroup,MATCH($C11,CatalogNames,0)),"Custom"))</f>
        <v/>
      </c>
      <c r="C11" s="16" t="inlineStr">
        <is>
          <t>Predictive Risk Intelligence</t>
        </is>
      </c>
      <c r="D11" s="17">
        <f>IF($C11="","",IFERROR(INDEX(CatalogDesc,MATCH($C11,CatalogNames,0)),""))</f>
        <v/>
      </c>
      <c r="E11" s="18">
        <f>IF($C11="","",IFERROR(INDEX(CatalogUnit,MATCH($C11,CatalogNames,0)),"Unit"))</f>
        <v/>
      </c>
      <c r="F11" s="19" t="n">
        <v>1</v>
      </c>
      <c r="G11" s="9">
        <f>IF($C11="","",IFERROR(INDEX(CatalogPrice,MATCH($C11,CatalogNames,0)),0))</f>
        <v/>
      </c>
      <c r="H11" s="20" t="n"/>
      <c r="I11" s="21">
        <f>IF($C11="","",IF(UPPER($A11)="N",0,ROUND($F11*IF($H11="",$G11,$H11),2)))</f>
        <v/>
      </c>
    </row>
    <row r="12" ht="34" customHeight="1">
      <c r="A12" s="14" t="inlineStr">
        <is>
          <t>Y</t>
        </is>
      </c>
      <c r="B12" s="15">
        <f>IF($C12="","",IFERROR(INDEX(CatalogGroup,MATCH($C12,CatalogNames,0)),"Custom"))</f>
        <v/>
      </c>
      <c r="C12" s="16" t="inlineStr">
        <is>
          <t>Training Matrix &amp; Certification Tracking</t>
        </is>
      </c>
      <c r="D12" s="17">
        <f>IF($C12="","",IFERROR(INDEX(CatalogDesc,MATCH($C12,CatalogNames,0)),""))</f>
        <v/>
      </c>
      <c r="E12" s="18">
        <f>IF($C12="","",IFERROR(INDEX(CatalogUnit,MATCH($C12,CatalogNames,0)),"Unit"))</f>
        <v/>
      </c>
      <c r="F12" s="19" t="n">
        <v>1</v>
      </c>
      <c r="G12" s="9">
        <f>IF($C12="","",IFERROR(INDEX(CatalogPrice,MATCH($C12,CatalogNames,0)),0))</f>
        <v/>
      </c>
      <c r="H12" s="20" t="n"/>
      <c r="I12" s="21">
        <f>IF($C12="","",IF(UPPER($A12)="N",0,ROUND($F12*IF($H12="",$G12,$H12),2)))</f>
        <v/>
      </c>
    </row>
    <row r="13" ht="34" customHeight="1">
      <c r="A13" s="14" t="inlineStr">
        <is>
          <t>Y</t>
        </is>
      </c>
      <c r="B13" s="15">
        <f>IF($C13="","",IFERROR(INDEX(CatalogGroup,MATCH($C13,CatalogNames,0)),"Custom"))</f>
        <v/>
      </c>
      <c r="C13" s="16" t="inlineStr">
        <is>
          <t>Mobile Field App Enablement</t>
        </is>
      </c>
      <c r="D13" s="17">
        <f>IF($C13="","",IFERROR(INDEX(CatalogDesc,MATCH($C13,CatalogNames,0)),""))</f>
        <v/>
      </c>
      <c r="E13" s="18">
        <f>IF($C13="","",IFERROR(INDEX(CatalogUnit,MATCH($C13,CatalogNames,0)),"Unit"))</f>
        <v/>
      </c>
      <c r="F13" s="19" t="n">
        <v>1</v>
      </c>
      <c r="G13" s="9">
        <f>IF($C13="","",IFERROR(INDEX(CatalogPrice,MATCH($C13,CatalogNames,0)),0))</f>
        <v/>
      </c>
      <c r="H13" s="20" t="n"/>
      <c r="I13" s="21">
        <f>IF($C13="","",IF(UPPER($A13)="N",0,ROUND($F13*IF($H13="",$G13,$H13),2)))</f>
        <v/>
      </c>
    </row>
    <row r="14" ht="34" customHeight="1">
      <c r="A14" s="14" t="inlineStr">
        <is>
          <t>N</t>
        </is>
      </c>
      <c r="B14" s="15">
        <f>IF($C14="","",IFERROR(INDEX(CatalogGroup,MATCH($C14,CatalogNames,0)),"Custom"))</f>
        <v/>
      </c>
      <c r="C14" s="16" t="inlineStr">
        <is>
          <t>AI Gateway Validation Layer</t>
        </is>
      </c>
      <c r="D14" s="17">
        <f>IF($C14="","",IFERROR(INDEX(CatalogDesc,MATCH($C14,CatalogNames,0)),""))</f>
        <v/>
      </c>
      <c r="E14" s="18">
        <f>IF($C14="","",IFERROR(INDEX(CatalogUnit,MATCH($C14,CatalogNames,0)),"Unit"))</f>
        <v/>
      </c>
      <c r="F14" s="19" t="n">
        <v>1</v>
      </c>
      <c r="G14" s="9">
        <f>IF($C14="","",IFERROR(INDEX(CatalogPrice,MATCH($C14,CatalogNames,0)),0))</f>
        <v/>
      </c>
      <c r="H14" s="20" t="n"/>
      <c r="I14" s="21">
        <f>IF($C14="","",IF(UPPER($A14)="N",0,ROUND($F14*IF($H14="",$G14,$H14),2)))</f>
        <v/>
      </c>
    </row>
    <row r="15" ht="34" customHeight="1">
      <c r="A15" s="14" t="inlineStr">
        <is>
          <t>Y</t>
        </is>
      </c>
      <c r="B15" s="15">
        <f>IF($C15="","",IFERROR(INDEX(CatalogGroup,MATCH($C15,CatalogNames,0)),"Custom"))</f>
        <v/>
      </c>
      <c r="C15" s="16" t="inlineStr">
        <is>
          <t>Safety Document — Medium (≤60 pg)</t>
        </is>
      </c>
      <c r="D15" s="17">
        <f>IF($C15="","",IFERROR(INDEX(CatalogDesc,MATCH($C15,CatalogNames,0)),""))</f>
        <v/>
      </c>
      <c r="E15" s="18">
        <f>IF($C15="","",IFERROR(INDEX(CatalogUnit,MATCH($C15,CatalogNames,0)),"Unit"))</f>
        <v/>
      </c>
      <c r="F15" s="19" t="n">
        <v>4</v>
      </c>
      <c r="G15" s="9">
        <f>IF($C15="","",IFERROR(INDEX(CatalogPrice,MATCH($C15,CatalogNames,0)),0))</f>
        <v/>
      </c>
      <c r="H15" s="20" t="n"/>
      <c r="I15" s="21">
        <f>IF($C15="","",IF(UPPER($A15)="N",0,ROUND($F15*IF($H15="",$G15,$H15),2)))</f>
        <v/>
      </c>
    </row>
    <row r="16" ht="34" customHeight="1">
      <c r="A16" s="14" t="inlineStr">
        <is>
          <t>Y</t>
        </is>
      </c>
      <c r="B16" s="15">
        <f>IF($C16="","",IFERROR(INDEX(CatalogGroup,MATCH($C16,CatalogNames,0)),"Custom"))</f>
        <v/>
      </c>
      <c r="C16" s="16" t="inlineStr">
        <is>
          <t>OSHA 30 Training</t>
        </is>
      </c>
      <c r="D16" s="17">
        <f>IF($C16="","",IFERROR(INDEX(CatalogDesc,MATCH($C16,CatalogNames,0)),""))</f>
        <v/>
      </c>
      <c r="E16" s="18">
        <f>IF($C16="","",IFERROR(INDEX(CatalogUnit,MATCH($C16,CatalogNames,0)),"Unit"))</f>
        <v/>
      </c>
      <c r="F16" s="19" t="n">
        <v>6</v>
      </c>
      <c r="G16" s="9">
        <f>IF($C16="","",IFERROR(INDEX(CatalogPrice,MATCH($C16,CatalogNames,0)),0))</f>
        <v/>
      </c>
      <c r="H16" s="20" t="n"/>
      <c r="I16" s="21">
        <f>IF($C16="","",IF(UPPER($A16)="N",0,ROUND($F16*IF($H16="",$G16,$H16),2)))</f>
        <v/>
      </c>
    </row>
    <row r="17" ht="34" customHeight="1">
      <c r="A17" s="14" t="inlineStr">
        <is>
          <t>Y</t>
        </is>
      </c>
      <c r="B17" s="15">
        <f>IF($C17="","",IFERROR(INDEX(CatalogGroup,MATCH($C17,CatalogNames,0)),"Custom"))</f>
        <v/>
      </c>
      <c r="C17" s="16" t="inlineStr">
        <is>
          <t>Compliance Audit</t>
        </is>
      </c>
      <c r="D17" s="17">
        <f>IF($C17="","",IFERROR(INDEX(CatalogDesc,MATCH($C17,CatalogNames,0)),""))</f>
        <v/>
      </c>
      <c r="E17" s="18">
        <f>IF($C17="","",IFERROR(INDEX(CatalogUnit,MATCH($C17,CatalogNames,0)),"Unit"))</f>
        <v/>
      </c>
      <c r="F17" s="19" t="n">
        <v>2</v>
      </c>
      <c r="G17" s="9">
        <f>IF($C17="","",IFERROR(INDEX(CatalogPrice,MATCH($C17,CatalogNames,0)),0))</f>
        <v/>
      </c>
      <c r="H17" s="20" t="n"/>
      <c r="I17" s="21">
        <f>IF($C17="","",IF(UPPER($A17)="N",0,ROUND($F17*IF($H17="",$G17,$H17),2)))</f>
        <v/>
      </c>
    </row>
    <row r="18" ht="34" customHeight="1">
      <c r="A18" s="14" t="inlineStr">
        <is>
          <t>Y</t>
        </is>
      </c>
      <c r="B18" s="15">
        <f>IF($C18="","",IFERROR(INDEX(CatalogGroup,MATCH($C18,CatalogNames,0)),"Custom"))</f>
        <v/>
      </c>
      <c r="C18" s="16" t="inlineStr">
        <is>
          <t>Field Support Day</t>
        </is>
      </c>
      <c r="D18" s="17">
        <f>IF($C18="","",IFERROR(INDEX(CatalogDesc,MATCH($C18,CatalogNames,0)),""))</f>
        <v/>
      </c>
      <c r="E18" s="18">
        <f>IF($C18="","",IFERROR(INDEX(CatalogUnit,MATCH($C18,CatalogNames,0)),"Unit"))</f>
        <v/>
      </c>
      <c r="F18" s="19" t="n">
        <v>4</v>
      </c>
      <c r="G18" s="9">
        <f>IF($C18="","",IFERROR(INDEX(CatalogPrice,MATCH($C18,CatalogNames,0)),0))</f>
        <v/>
      </c>
      <c r="H18" s="20" t="n"/>
      <c r="I18" s="21">
        <f>IF($C18="","",IF(UPPER($A18)="N",0,ROUND($F18*IF($H18="",$G18,$H18),2)))</f>
        <v/>
      </c>
    </row>
    <row r="19" ht="34" customHeight="1">
      <c r="A19" s="14" t="inlineStr">
        <is>
          <t>Y</t>
        </is>
      </c>
      <c r="B19" s="15">
        <f>IF($C19="","",IFERROR(INDEX(CatalogGroup,MATCH($C19,CatalogNames,0)),"Custom"))</f>
        <v/>
      </c>
      <c r="C19" s="16" t="inlineStr">
        <is>
          <t>Travel Mileage</t>
        </is>
      </c>
      <c r="D19" s="17">
        <f>IF($C19="","",IFERROR(INDEX(CatalogDesc,MATCH($C19,CatalogNames,0)),""))</f>
        <v/>
      </c>
      <c r="E19" s="18">
        <f>IF($C19="","",IFERROR(INDEX(CatalogUnit,MATCH($C19,CatalogNames,0)),"Unit"))</f>
        <v/>
      </c>
      <c r="F19" s="19" t="n">
        <v>850</v>
      </c>
      <c r="G19" s="9">
        <f>IF($C19="","",IFERROR(INDEX(CatalogPrice,MATCH($C19,CatalogNames,0)),0))</f>
        <v/>
      </c>
      <c r="H19" s="20" t="n"/>
      <c r="I19" s="21">
        <f>IF($C19="","",IF(UPPER($A19)="N",0,ROUND($F19*IF($H19="",$G19,$H19),2)))</f>
        <v/>
      </c>
    </row>
    <row r="20" ht="34" customHeight="1">
      <c r="A20" s="14" t="inlineStr">
        <is>
          <t>Y</t>
        </is>
      </c>
      <c r="B20" s="15">
        <f>IF($C20="","",IFERROR(INDEX(CatalogGroup,MATCH($C20,CatalogNames,0)),"Custom"))</f>
        <v/>
      </c>
      <c r="C20" s="16" t="inlineStr">
        <is>
          <t>Hotel Night</t>
        </is>
      </c>
      <c r="D20" s="17">
        <f>IF($C20="","",IFERROR(INDEX(CatalogDesc,MATCH($C20,CatalogNames,0)),""))</f>
        <v/>
      </c>
      <c r="E20" s="18">
        <f>IF($C20="","",IFERROR(INDEX(CatalogUnit,MATCH($C20,CatalogNames,0)),"Unit"))</f>
        <v/>
      </c>
      <c r="F20" s="19" t="n">
        <v>6</v>
      </c>
      <c r="G20" s="9">
        <f>IF($C20="","",IFERROR(INDEX(CatalogPrice,MATCH($C20,CatalogNames,0)),0))</f>
        <v/>
      </c>
      <c r="H20" s="20" t="n"/>
      <c r="I20" s="21">
        <f>IF($C20="","",IF(UPPER($A20)="N",0,ROUND($F20*IF($H20="",$G20,$H20),2)))</f>
        <v/>
      </c>
    </row>
    <row r="21" ht="34" customHeight="1">
      <c r="A21" s="14" t="inlineStr">
        <is>
          <t>Y</t>
        </is>
      </c>
      <c r="B21" s="15">
        <f>IF($C21="","",IFERROR(INDEX(CatalogGroup,MATCH($C21,CatalogNames,0)),"Custom"))</f>
        <v/>
      </c>
      <c r="C21" s="16" t="inlineStr">
        <is>
          <t>Per Diem</t>
        </is>
      </c>
      <c r="D21" s="17">
        <f>IF($C21="","",IFERROR(INDEX(CatalogDesc,MATCH($C21,CatalogNames,0)),""))</f>
        <v/>
      </c>
      <c r="E21" s="18">
        <f>IF($C21="","",IFERROR(INDEX(CatalogUnit,MATCH($C21,CatalogNames,0)),"Unit"))</f>
        <v/>
      </c>
      <c r="F21" s="19" t="n">
        <v>6</v>
      </c>
      <c r="G21" s="9">
        <f>IF($C21="","",IFERROR(INDEX(CatalogPrice,MATCH($C21,CatalogNames,0)),0))</f>
        <v/>
      </c>
      <c r="H21" s="20" t="n"/>
      <c r="I21" s="21">
        <f>IF($C21="","",IF(UPPER($A21)="N",0,ROUND($F21*IF($H21="",$G21,$H21),2)))</f>
        <v/>
      </c>
    </row>
    <row r="22" ht="34" customHeight="1">
      <c r="A22" s="14" t="n"/>
      <c r="B22" s="15">
        <f>IF($C22="","",IFERROR(INDEX(CatalogGroup,MATCH($C22,CatalogNames,0)),"Custom"))</f>
        <v/>
      </c>
      <c r="C22" s="16" t="n"/>
      <c r="D22" s="17">
        <f>IF($C22="","",IFERROR(INDEX(CatalogDesc,MATCH($C22,CatalogNames,0)),""))</f>
        <v/>
      </c>
      <c r="E22" s="18">
        <f>IF($C22="","",IFERROR(INDEX(CatalogUnit,MATCH($C22,CatalogNames,0)),"Unit"))</f>
        <v/>
      </c>
      <c r="F22" s="19" t="n"/>
      <c r="G22" s="9">
        <f>IF($C22="","",IFERROR(INDEX(CatalogPrice,MATCH($C22,CatalogNames,0)),0))</f>
        <v/>
      </c>
      <c r="H22" s="20" t="n"/>
      <c r="I22" s="21">
        <f>IF($C22="","",IF(UPPER($A22)="N",0,ROUND($F22*IF($H22="",$G22,$H22),2)))</f>
        <v/>
      </c>
    </row>
    <row r="23" ht="34" customHeight="1">
      <c r="A23" s="14" t="n"/>
      <c r="B23" s="15">
        <f>IF($C23="","",IFERROR(INDEX(CatalogGroup,MATCH($C23,CatalogNames,0)),"Custom"))</f>
        <v/>
      </c>
      <c r="C23" s="16" t="n"/>
      <c r="D23" s="17">
        <f>IF($C23="","",IFERROR(INDEX(CatalogDesc,MATCH($C23,CatalogNames,0)),""))</f>
        <v/>
      </c>
      <c r="E23" s="18">
        <f>IF($C23="","",IFERROR(INDEX(CatalogUnit,MATCH($C23,CatalogNames,0)),"Unit"))</f>
        <v/>
      </c>
      <c r="F23" s="19" t="n"/>
      <c r="G23" s="9">
        <f>IF($C23="","",IFERROR(INDEX(CatalogPrice,MATCH($C23,CatalogNames,0)),0))</f>
        <v/>
      </c>
      <c r="H23" s="20" t="n"/>
      <c r="I23" s="21">
        <f>IF($C23="","",IF(UPPER($A23)="N",0,ROUND($F23*IF($H23="",$G23,$H23),2)))</f>
        <v/>
      </c>
    </row>
    <row r="24" ht="34" customHeight="1">
      <c r="A24" s="14" t="n"/>
      <c r="B24" s="15">
        <f>IF($C24="","",IFERROR(INDEX(CatalogGroup,MATCH($C24,CatalogNames,0)),"Custom"))</f>
        <v/>
      </c>
      <c r="C24" s="16" t="n"/>
      <c r="D24" s="17">
        <f>IF($C24="","",IFERROR(INDEX(CatalogDesc,MATCH($C24,CatalogNames,0)),""))</f>
        <v/>
      </c>
      <c r="E24" s="18">
        <f>IF($C24="","",IFERROR(INDEX(CatalogUnit,MATCH($C24,CatalogNames,0)),"Unit"))</f>
        <v/>
      </c>
      <c r="F24" s="19" t="n"/>
      <c r="G24" s="9">
        <f>IF($C24="","",IFERROR(INDEX(CatalogPrice,MATCH($C24,CatalogNames,0)),0))</f>
        <v/>
      </c>
      <c r="H24" s="20" t="n"/>
      <c r="I24" s="21">
        <f>IF($C24="","",IF(UPPER($A24)="N",0,ROUND($F24*IF($H24="",$G24,$H24),2)))</f>
        <v/>
      </c>
    </row>
    <row r="25" ht="34" customHeight="1">
      <c r="A25" s="14" t="n"/>
      <c r="B25" s="15">
        <f>IF($C25="","",IFERROR(INDEX(CatalogGroup,MATCH($C25,CatalogNames,0)),"Custom"))</f>
        <v/>
      </c>
      <c r="C25" s="16" t="n"/>
      <c r="D25" s="17">
        <f>IF($C25="","",IFERROR(INDEX(CatalogDesc,MATCH($C25,CatalogNames,0)),""))</f>
        <v/>
      </c>
      <c r="E25" s="18">
        <f>IF($C25="","",IFERROR(INDEX(CatalogUnit,MATCH($C25,CatalogNames,0)),"Unit"))</f>
        <v/>
      </c>
      <c r="F25" s="19" t="n"/>
      <c r="G25" s="9">
        <f>IF($C25="","",IFERROR(INDEX(CatalogPrice,MATCH($C25,CatalogNames,0)),0))</f>
        <v/>
      </c>
      <c r="H25" s="20" t="n"/>
      <c r="I25" s="21">
        <f>IF($C25="","",IF(UPPER($A25)="N",0,ROUND($F25*IF($H25="",$G25,$H25),2)))</f>
        <v/>
      </c>
    </row>
    <row r="26" ht="34" customHeight="1">
      <c r="A26" s="14" t="n"/>
      <c r="B26" s="15">
        <f>IF($C26="","",IFERROR(INDEX(CatalogGroup,MATCH($C26,CatalogNames,0)),"Custom"))</f>
        <v/>
      </c>
      <c r="C26" s="16" t="n"/>
      <c r="D26" s="17">
        <f>IF($C26="","",IFERROR(INDEX(CatalogDesc,MATCH($C26,CatalogNames,0)),""))</f>
        <v/>
      </c>
      <c r="E26" s="18">
        <f>IF($C26="","",IFERROR(INDEX(CatalogUnit,MATCH($C26,CatalogNames,0)),"Unit"))</f>
        <v/>
      </c>
      <c r="F26" s="19" t="n"/>
      <c r="G26" s="9">
        <f>IF($C26="","",IFERROR(INDEX(CatalogPrice,MATCH($C26,CatalogNames,0)),0))</f>
        <v/>
      </c>
      <c r="H26" s="20" t="n"/>
      <c r="I26" s="21">
        <f>IF($C26="","",IF(UPPER($A26)="N",0,ROUND($F26*IF($H26="",$G26,$H26),2)))</f>
        <v/>
      </c>
    </row>
    <row r="27" ht="34" customHeight="1">
      <c r="A27" s="14" t="n"/>
      <c r="B27" s="15">
        <f>IF($C27="","",IFERROR(INDEX(CatalogGroup,MATCH($C27,CatalogNames,0)),"Custom"))</f>
        <v/>
      </c>
      <c r="C27" s="16" t="n"/>
      <c r="D27" s="17">
        <f>IF($C27="","",IFERROR(INDEX(CatalogDesc,MATCH($C27,CatalogNames,0)),""))</f>
        <v/>
      </c>
      <c r="E27" s="18">
        <f>IF($C27="","",IFERROR(INDEX(CatalogUnit,MATCH($C27,CatalogNames,0)),"Unit"))</f>
        <v/>
      </c>
      <c r="F27" s="19" t="n"/>
      <c r="G27" s="9">
        <f>IF($C27="","",IFERROR(INDEX(CatalogPrice,MATCH($C27,CatalogNames,0)),0))</f>
        <v/>
      </c>
      <c r="H27" s="20" t="n"/>
      <c r="I27" s="21">
        <f>IF($C27="","",IF(UPPER($A27)="N",0,ROUND($F27*IF($H27="",$G27,$H27),2)))</f>
        <v/>
      </c>
    </row>
    <row r="28" ht="34" customHeight="1">
      <c r="A28" s="14" t="n"/>
      <c r="B28" s="15">
        <f>IF($C28="","",IFERROR(INDEX(CatalogGroup,MATCH($C28,CatalogNames,0)),"Custom"))</f>
        <v/>
      </c>
      <c r="C28" s="16" t="n"/>
      <c r="D28" s="17">
        <f>IF($C28="","",IFERROR(INDEX(CatalogDesc,MATCH($C28,CatalogNames,0)),""))</f>
        <v/>
      </c>
      <c r="E28" s="18">
        <f>IF($C28="","",IFERROR(INDEX(CatalogUnit,MATCH($C28,CatalogNames,0)),"Unit"))</f>
        <v/>
      </c>
      <c r="F28" s="19" t="n"/>
      <c r="G28" s="9">
        <f>IF($C28="","",IFERROR(INDEX(CatalogPrice,MATCH($C28,CatalogNames,0)),0))</f>
        <v/>
      </c>
      <c r="H28" s="20" t="n"/>
      <c r="I28" s="21">
        <f>IF($C28="","",IF(UPPER($A28)="N",0,ROUND($F28*IF($H28="",$G28,$H28),2)))</f>
        <v/>
      </c>
    </row>
    <row r="29" ht="34" customHeight="1">
      <c r="A29" s="14" t="n"/>
      <c r="B29" s="15">
        <f>IF($C29="","",IFERROR(INDEX(CatalogGroup,MATCH($C29,CatalogNames,0)),"Custom"))</f>
        <v/>
      </c>
      <c r="C29" s="16" t="n"/>
      <c r="D29" s="17">
        <f>IF($C29="","",IFERROR(INDEX(CatalogDesc,MATCH($C29,CatalogNames,0)),""))</f>
        <v/>
      </c>
      <c r="E29" s="18">
        <f>IF($C29="","",IFERROR(INDEX(CatalogUnit,MATCH($C29,CatalogNames,0)),"Unit"))</f>
        <v/>
      </c>
      <c r="F29" s="19" t="n"/>
      <c r="G29" s="9">
        <f>IF($C29="","",IFERROR(INDEX(CatalogPrice,MATCH($C29,CatalogNames,0)),0))</f>
        <v/>
      </c>
      <c r="H29" s="20" t="n"/>
      <c r="I29" s="21">
        <f>IF($C29="","",IF(UPPER($A29)="N",0,ROUND($F29*IF($H29="",$G29,$H29),2)))</f>
        <v/>
      </c>
    </row>
    <row r="30" ht="34" customHeight="1">
      <c r="A30" s="14" t="n"/>
      <c r="B30" s="15">
        <f>IF($C30="","",IFERROR(INDEX(CatalogGroup,MATCH($C30,CatalogNames,0)),"Custom"))</f>
        <v/>
      </c>
      <c r="C30" s="16" t="n"/>
      <c r="D30" s="17">
        <f>IF($C30="","",IFERROR(INDEX(CatalogDesc,MATCH($C30,CatalogNames,0)),""))</f>
        <v/>
      </c>
      <c r="E30" s="18">
        <f>IF($C30="","",IFERROR(INDEX(CatalogUnit,MATCH($C30,CatalogNames,0)),"Unit"))</f>
        <v/>
      </c>
      <c r="F30" s="19" t="n"/>
      <c r="G30" s="9">
        <f>IF($C30="","",IFERROR(INDEX(CatalogPrice,MATCH($C30,CatalogNames,0)),0))</f>
        <v/>
      </c>
      <c r="H30" s="20" t="n"/>
      <c r="I30" s="21">
        <f>IF($C30="","",IF(UPPER($A30)="N",0,ROUND($F30*IF($H30="",$G30,$H30),2)))</f>
        <v/>
      </c>
    </row>
    <row r="31" ht="34" customHeight="1">
      <c r="A31" s="14" t="n"/>
      <c r="B31" s="15">
        <f>IF($C31="","",IFERROR(INDEX(CatalogGroup,MATCH($C31,CatalogNames,0)),"Custom"))</f>
        <v/>
      </c>
      <c r="C31" s="16" t="n"/>
      <c r="D31" s="17">
        <f>IF($C31="","",IFERROR(INDEX(CatalogDesc,MATCH($C31,CatalogNames,0)),""))</f>
        <v/>
      </c>
      <c r="E31" s="18">
        <f>IF($C31="","",IFERROR(INDEX(CatalogUnit,MATCH($C31,CatalogNames,0)),"Unit"))</f>
        <v/>
      </c>
      <c r="F31" s="19" t="n"/>
      <c r="G31" s="9">
        <f>IF($C31="","",IFERROR(INDEX(CatalogPrice,MATCH($C31,CatalogNames,0)),0))</f>
        <v/>
      </c>
      <c r="H31" s="20" t="n"/>
      <c r="I31" s="21">
        <f>IF($C31="","",IF(UPPER($A31)="N",0,ROUND($F31*IF($H31="",$G31,$H31),2)))</f>
        <v/>
      </c>
    </row>
    <row r="32" ht="34" customHeight="1">
      <c r="A32" s="14" t="n"/>
      <c r="B32" s="15">
        <f>IF($C32="","",IFERROR(INDEX(CatalogGroup,MATCH($C32,CatalogNames,0)),"Custom"))</f>
        <v/>
      </c>
      <c r="C32" s="16" t="n"/>
      <c r="D32" s="17">
        <f>IF($C32="","",IFERROR(INDEX(CatalogDesc,MATCH($C32,CatalogNames,0)),""))</f>
        <v/>
      </c>
      <c r="E32" s="18">
        <f>IF($C32="","",IFERROR(INDEX(CatalogUnit,MATCH($C32,CatalogNames,0)),"Unit"))</f>
        <v/>
      </c>
      <c r="F32" s="19" t="n"/>
      <c r="G32" s="9">
        <f>IF($C32="","",IFERROR(INDEX(CatalogPrice,MATCH($C32,CatalogNames,0)),0))</f>
        <v/>
      </c>
      <c r="H32" s="20" t="n"/>
      <c r="I32" s="21">
        <f>IF($C32="","",IF(UPPER($A32)="N",0,ROUND($F32*IF($H32="",$G32,$H32),2)))</f>
        <v/>
      </c>
    </row>
    <row r="33" ht="34" customHeight="1">
      <c r="A33" s="14" t="n"/>
      <c r="B33" s="15">
        <f>IF($C33="","",IFERROR(INDEX(CatalogGroup,MATCH($C33,CatalogNames,0)),"Custom"))</f>
        <v/>
      </c>
      <c r="C33" s="16" t="n"/>
      <c r="D33" s="17">
        <f>IF($C33="","",IFERROR(INDEX(CatalogDesc,MATCH($C33,CatalogNames,0)),""))</f>
        <v/>
      </c>
      <c r="E33" s="18">
        <f>IF($C33="","",IFERROR(INDEX(CatalogUnit,MATCH($C33,CatalogNames,0)),"Unit"))</f>
        <v/>
      </c>
      <c r="F33" s="19" t="n"/>
      <c r="G33" s="9">
        <f>IF($C33="","",IFERROR(INDEX(CatalogPrice,MATCH($C33,CatalogNames,0)),0))</f>
        <v/>
      </c>
      <c r="H33" s="20" t="n"/>
      <c r="I33" s="21">
        <f>IF($C33="","",IF(UPPER($A33)="N",0,ROUND($F33*IF($H33="",$G33,$H33),2)))</f>
        <v/>
      </c>
    </row>
    <row r="34" ht="34" customHeight="1">
      <c r="A34" s="14" t="n"/>
      <c r="B34" s="15">
        <f>IF($C34="","",IFERROR(INDEX(CatalogGroup,MATCH($C34,CatalogNames,0)),"Custom"))</f>
        <v/>
      </c>
      <c r="C34" s="16" t="n"/>
      <c r="D34" s="17">
        <f>IF($C34="","",IFERROR(INDEX(CatalogDesc,MATCH($C34,CatalogNames,0)),""))</f>
        <v/>
      </c>
      <c r="E34" s="18">
        <f>IF($C34="","",IFERROR(INDEX(CatalogUnit,MATCH($C34,CatalogNames,0)),"Unit"))</f>
        <v/>
      </c>
      <c r="F34" s="19" t="n"/>
      <c r="G34" s="9">
        <f>IF($C34="","",IFERROR(INDEX(CatalogPrice,MATCH($C34,CatalogNames,0)),0))</f>
        <v/>
      </c>
      <c r="H34" s="20" t="n"/>
      <c r="I34" s="21">
        <f>IF($C34="","",IF(UPPER($A34)="N",0,ROUND($F34*IF($H34="",$G34,$H34),2)))</f>
        <v/>
      </c>
    </row>
    <row r="35" ht="34" customHeight="1">
      <c r="A35" s="14" t="n"/>
      <c r="B35" s="15">
        <f>IF($C35="","",IFERROR(INDEX(CatalogGroup,MATCH($C35,CatalogNames,0)),"Custom"))</f>
        <v/>
      </c>
      <c r="C35" s="16" t="n"/>
      <c r="D35" s="17">
        <f>IF($C35="","",IFERROR(INDEX(CatalogDesc,MATCH($C35,CatalogNames,0)),""))</f>
        <v/>
      </c>
      <c r="E35" s="18">
        <f>IF($C35="","",IFERROR(INDEX(CatalogUnit,MATCH($C35,CatalogNames,0)),"Unit"))</f>
        <v/>
      </c>
      <c r="F35" s="19" t="n"/>
      <c r="G35" s="9">
        <f>IF($C35="","",IFERROR(INDEX(CatalogPrice,MATCH($C35,CatalogNames,0)),0))</f>
        <v/>
      </c>
      <c r="H35" s="20" t="n"/>
      <c r="I35" s="21">
        <f>IF($C35="","",IF(UPPER($A35)="N",0,ROUND($F35*IF($H35="",$G35,$H35),2)))</f>
        <v/>
      </c>
    </row>
    <row r="36" ht="34" customHeight="1">
      <c r="A36" s="14" t="n"/>
      <c r="B36" s="15">
        <f>IF($C36="","",IFERROR(INDEX(CatalogGroup,MATCH($C36,CatalogNames,0)),"Custom"))</f>
        <v/>
      </c>
      <c r="C36" s="16" t="n"/>
      <c r="D36" s="17">
        <f>IF($C36="","",IFERROR(INDEX(CatalogDesc,MATCH($C36,CatalogNames,0)),""))</f>
        <v/>
      </c>
      <c r="E36" s="18">
        <f>IF($C36="","",IFERROR(INDEX(CatalogUnit,MATCH($C36,CatalogNames,0)),"Unit"))</f>
        <v/>
      </c>
      <c r="F36" s="19" t="n"/>
      <c r="G36" s="9">
        <f>IF($C36="","",IFERROR(INDEX(CatalogPrice,MATCH($C36,CatalogNames,0)),0))</f>
        <v/>
      </c>
      <c r="H36" s="20" t="n"/>
      <c r="I36" s="21">
        <f>IF($C36="","",IF(UPPER($A36)="N",0,ROUND($F36*IF($H36="",$G36,$H36),2)))</f>
        <v/>
      </c>
    </row>
    <row r="37" ht="34" customHeight="1">
      <c r="A37" s="14" t="n"/>
      <c r="B37" s="15">
        <f>IF($C37="","",IFERROR(INDEX(CatalogGroup,MATCH($C37,CatalogNames,0)),"Custom"))</f>
        <v/>
      </c>
      <c r="C37" s="16" t="n"/>
      <c r="D37" s="17">
        <f>IF($C37="","",IFERROR(INDEX(CatalogDesc,MATCH($C37,CatalogNames,0)),""))</f>
        <v/>
      </c>
      <c r="E37" s="18">
        <f>IF($C37="","",IFERROR(INDEX(CatalogUnit,MATCH($C37,CatalogNames,0)),"Unit"))</f>
        <v/>
      </c>
      <c r="F37" s="19" t="n"/>
      <c r="G37" s="9">
        <f>IF($C37="","",IFERROR(INDEX(CatalogPrice,MATCH($C37,CatalogNames,0)),0))</f>
        <v/>
      </c>
      <c r="H37" s="20" t="n"/>
      <c r="I37" s="21">
        <f>IF($C37="","",IF(UPPER($A37)="N",0,ROUND($F37*IF($H37="",$G37,$H37),2)))</f>
        <v/>
      </c>
    </row>
    <row r="38" ht="34" customHeight="1">
      <c r="A38" s="14" t="n"/>
      <c r="B38" s="15">
        <f>IF($C38="","",IFERROR(INDEX(CatalogGroup,MATCH($C38,CatalogNames,0)),"Custom"))</f>
        <v/>
      </c>
      <c r="C38" s="16" t="n"/>
      <c r="D38" s="17">
        <f>IF($C38="","",IFERROR(INDEX(CatalogDesc,MATCH($C38,CatalogNames,0)),""))</f>
        <v/>
      </c>
      <c r="E38" s="18">
        <f>IF($C38="","",IFERROR(INDEX(CatalogUnit,MATCH($C38,CatalogNames,0)),"Unit"))</f>
        <v/>
      </c>
      <c r="F38" s="19" t="n"/>
      <c r="G38" s="9">
        <f>IF($C38="","",IFERROR(INDEX(CatalogPrice,MATCH($C38,CatalogNames,0)),0))</f>
        <v/>
      </c>
      <c r="H38" s="20" t="n"/>
      <c r="I38" s="21">
        <f>IF($C38="","",IF(UPPER($A38)="N",0,ROUND($F38*IF($H38="",$G38,$H38),2)))</f>
        <v/>
      </c>
    </row>
    <row r="39" ht="34" customHeight="1">
      <c r="A39" s="14" t="n"/>
      <c r="B39" s="15">
        <f>IF($C39="","",IFERROR(INDEX(CatalogGroup,MATCH($C39,CatalogNames,0)),"Custom"))</f>
        <v/>
      </c>
      <c r="C39" s="16" t="n"/>
      <c r="D39" s="17">
        <f>IF($C39="","",IFERROR(INDEX(CatalogDesc,MATCH($C39,CatalogNames,0)),""))</f>
        <v/>
      </c>
      <c r="E39" s="18">
        <f>IF($C39="","",IFERROR(INDEX(CatalogUnit,MATCH($C39,CatalogNames,0)),"Unit"))</f>
        <v/>
      </c>
      <c r="F39" s="19" t="n"/>
      <c r="G39" s="9">
        <f>IF($C39="","",IFERROR(INDEX(CatalogPrice,MATCH($C39,CatalogNames,0)),0))</f>
        <v/>
      </c>
      <c r="H39" s="20" t="n"/>
      <c r="I39" s="21">
        <f>IF($C39="","",IF(UPPER($A39)="N",0,ROUND($F39*IF($H39="",$G39,$H39),2)))</f>
        <v/>
      </c>
    </row>
    <row r="40" ht="34" customHeight="1">
      <c r="A40" s="14" t="n"/>
      <c r="B40" s="15">
        <f>IF($C40="","",IFERROR(INDEX(CatalogGroup,MATCH($C40,CatalogNames,0)),"Custom"))</f>
        <v/>
      </c>
      <c r="C40" s="16" t="n"/>
      <c r="D40" s="17">
        <f>IF($C40="","",IFERROR(INDEX(CatalogDesc,MATCH($C40,CatalogNames,0)),""))</f>
        <v/>
      </c>
      <c r="E40" s="18">
        <f>IF($C40="","",IFERROR(INDEX(CatalogUnit,MATCH($C40,CatalogNames,0)),"Unit"))</f>
        <v/>
      </c>
      <c r="F40" s="19" t="n"/>
      <c r="G40" s="9">
        <f>IF($C40="","",IFERROR(INDEX(CatalogPrice,MATCH($C40,CatalogNames,0)),0))</f>
        <v/>
      </c>
      <c r="H40" s="20" t="n"/>
      <c r="I40" s="21">
        <f>IF($C40="","",IF(UPPER($A40)="N",0,ROUND($F40*IF($H40="",$G40,$H40),2)))</f>
        <v/>
      </c>
    </row>
    <row r="41" ht="34" customHeight="1">
      <c r="A41" s="14" t="n"/>
      <c r="B41" s="15">
        <f>IF($C41="","",IFERROR(INDEX(CatalogGroup,MATCH($C41,CatalogNames,0)),"Custom"))</f>
        <v/>
      </c>
      <c r="C41" s="16" t="n"/>
      <c r="D41" s="17">
        <f>IF($C41="","",IFERROR(INDEX(CatalogDesc,MATCH($C41,CatalogNames,0)),""))</f>
        <v/>
      </c>
      <c r="E41" s="18">
        <f>IF($C41="","",IFERROR(INDEX(CatalogUnit,MATCH($C41,CatalogNames,0)),"Unit"))</f>
        <v/>
      </c>
      <c r="F41" s="19" t="n"/>
      <c r="G41" s="9">
        <f>IF($C41="","",IFERROR(INDEX(CatalogPrice,MATCH($C41,CatalogNames,0)),0))</f>
        <v/>
      </c>
      <c r="H41" s="20" t="n"/>
      <c r="I41" s="21">
        <f>IF($C41="","",IF(UPPER($A41)="N",0,ROUND($F41*IF($H41="",$G41,$H41),2)))</f>
        <v/>
      </c>
    </row>
    <row r="42" ht="34" customHeight="1">
      <c r="A42" s="14" t="n"/>
      <c r="B42" s="15">
        <f>IF($C42="","",IFERROR(INDEX(CatalogGroup,MATCH($C42,CatalogNames,0)),"Custom"))</f>
        <v/>
      </c>
      <c r="C42" s="16" t="n"/>
      <c r="D42" s="17">
        <f>IF($C42="","",IFERROR(INDEX(CatalogDesc,MATCH($C42,CatalogNames,0)),""))</f>
        <v/>
      </c>
      <c r="E42" s="18">
        <f>IF($C42="","",IFERROR(INDEX(CatalogUnit,MATCH($C42,CatalogNames,0)),"Unit"))</f>
        <v/>
      </c>
      <c r="F42" s="19" t="n"/>
      <c r="G42" s="9">
        <f>IF($C42="","",IFERROR(INDEX(CatalogPrice,MATCH($C42,CatalogNames,0)),0))</f>
        <v/>
      </c>
      <c r="H42" s="20" t="n"/>
      <c r="I42" s="21">
        <f>IF($C42="","",IF(UPPER($A42)="N",0,ROUND($F42*IF($H42="",$G42,$H42),2)))</f>
        <v/>
      </c>
    </row>
    <row r="43" ht="34" customHeight="1">
      <c r="A43" s="14" t="n"/>
      <c r="B43" s="15">
        <f>IF($C43="","",IFERROR(INDEX(CatalogGroup,MATCH($C43,CatalogNames,0)),"Custom"))</f>
        <v/>
      </c>
      <c r="C43" s="16" t="n"/>
      <c r="D43" s="17">
        <f>IF($C43="","",IFERROR(INDEX(CatalogDesc,MATCH($C43,CatalogNames,0)),""))</f>
        <v/>
      </c>
      <c r="E43" s="18">
        <f>IF($C43="","",IFERROR(INDEX(CatalogUnit,MATCH($C43,CatalogNames,0)),"Unit"))</f>
        <v/>
      </c>
      <c r="F43" s="19" t="n"/>
      <c r="G43" s="9">
        <f>IF($C43="","",IFERROR(INDEX(CatalogPrice,MATCH($C43,CatalogNames,0)),0))</f>
        <v/>
      </c>
      <c r="H43" s="20" t="n"/>
      <c r="I43" s="21">
        <f>IF($C43="","",IF(UPPER($A43)="N",0,ROUND($F43*IF($H43="",$G43,$H43),2)))</f>
        <v/>
      </c>
    </row>
    <row r="44" ht="34" customHeight="1">
      <c r="A44" s="14" t="n"/>
      <c r="B44" s="15">
        <f>IF($C44="","",IFERROR(INDEX(CatalogGroup,MATCH($C44,CatalogNames,0)),"Custom"))</f>
        <v/>
      </c>
      <c r="C44" s="16" t="n"/>
      <c r="D44" s="17">
        <f>IF($C44="","",IFERROR(INDEX(CatalogDesc,MATCH($C44,CatalogNames,0)),""))</f>
        <v/>
      </c>
      <c r="E44" s="18">
        <f>IF($C44="","",IFERROR(INDEX(CatalogUnit,MATCH($C44,CatalogNames,0)),"Unit"))</f>
        <v/>
      </c>
      <c r="F44" s="19" t="n"/>
      <c r="G44" s="9">
        <f>IF($C44="","",IFERROR(INDEX(CatalogPrice,MATCH($C44,CatalogNames,0)),0))</f>
        <v/>
      </c>
      <c r="H44" s="20" t="n"/>
      <c r="I44" s="21">
        <f>IF($C44="","",IF(UPPER($A44)="N",0,ROUND($F44*IF($H44="",$G44,$H44),2)))</f>
        <v/>
      </c>
    </row>
    <row r="45" ht="34" customHeight="1">
      <c r="A45" s="14" t="n"/>
      <c r="B45" s="15">
        <f>IF($C45="","",IFERROR(INDEX(CatalogGroup,MATCH($C45,CatalogNames,0)),"Custom"))</f>
        <v/>
      </c>
      <c r="C45" s="16" t="n"/>
      <c r="D45" s="17">
        <f>IF($C45="","",IFERROR(INDEX(CatalogDesc,MATCH($C45,CatalogNames,0)),""))</f>
        <v/>
      </c>
      <c r="E45" s="18">
        <f>IF($C45="","",IFERROR(INDEX(CatalogUnit,MATCH($C45,CatalogNames,0)),"Unit"))</f>
        <v/>
      </c>
      <c r="F45" s="19" t="n"/>
      <c r="G45" s="9">
        <f>IF($C45="","",IFERROR(INDEX(CatalogPrice,MATCH($C45,CatalogNames,0)),0))</f>
        <v/>
      </c>
      <c r="H45" s="20" t="n"/>
      <c r="I45" s="21">
        <f>IF($C45="","",IF(UPPER($A45)="N",0,ROUND($F45*IF($H45="",$G45,$H45),2)))</f>
        <v/>
      </c>
    </row>
    <row r="46" ht="34" customHeight="1">
      <c r="A46" s="14" t="n"/>
      <c r="B46" s="15">
        <f>IF($C46="","",IFERROR(INDEX(CatalogGroup,MATCH($C46,CatalogNames,0)),"Custom"))</f>
        <v/>
      </c>
      <c r="C46" s="16" t="n"/>
      <c r="D46" s="17">
        <f>IF($C46="","",IFERROR(INDEX(CatalogDesc,MATCH($C46,CatalogNames,0)),""))</f>
        <v/>
      </c>
      <c r="E46" s="18">
        <f>IF($C46="","",IFERROR(INDEX(CatalogUnit,MATCH($C46,CatalogNames,0)),"Unit"))</f>
        <v/>
      </c>
      <c r="F46" s="19" t="n"/>
      <c r="G46" s="9">
        <f>IF($C46="","",IFERROR(INDEX(CatalogPrice,MATCH($C46,CatalogNames,0)),0))</f>
        <v/>
      </c>
      <c r="H46" s="20" t="n"/>
      <c r="I46" s="21">
        <f>IF($C46="","",IF(UPPER($A46)="N",0,ROUND($F46*IF($H46="",$G46,$H46),2)))</f>
        <v/>
      </c>
    </row>
    <row r="47" ht="34" customHeight="1">
      <c r="A47" s="14" t="n"/>
      <c r="B47" s="15">
        <f>IF($C47="","",IFERROR(INDEX(CatalogGroup,MATCH($C47,CatalogNames,0)),"Custom"))</f>
        <v/>
      </c>
      <c r="C47" s="16" t="n"/>
      <c r="D47" s="17">
        <f>IF($C47="","",IFERROR(INDEX(CatalogDesc,MATCH($C47,CatalogNames,0)),""))</f>
        <v/>
      </c>
      <c r="E47" s="18">
        <f>IF($C47="","",IFERROR(INDEX(CatalogUnit,MATCH($C47,CatalogNames,0)),"Unit"))</f>
        <v/>
      </c>
      <c r="F47" s="19" t="n"/>
      <c r="G47" s="9">
        <f>IF($C47="","",IFERROR(INDEX(CatalogPrice,MATCH($C47,CatalogNames,0)),0))</f>
        <v/>
      </c>
      <c r="H47" s="20" t="n"/>
      <c r="I47" s="21">
        <f>IF($C47="","",IF(UPPER($A47)="N",0,ROUND($F47*IF($H47="",$G47,$H47),2)))</f>
        <v/>
      </c>
    </row>
    <row r="48" ht="34" customHeight="1">
      <c r="A48" s="14" t="n"/>
      <c r="B48" s="15">
        <f>IF($C48="","",IFERROR(INDEX(CatalogGroup,MATCH($C48,CatalogNames,0)),"Custom"))</f>
        <v/>
      </c>
      <c r="C48" s="16" t="n"/>
      <c r="D48" s="17">
        <f>IF($C48="","",IFERROR(INDEX(CatalogDesc,MATCH($C48,CatalogNames,0)),""))</f>
        <v/>
      </c>
      <c r="E48" s="18">
        <f>IF($C48="","",IFERROR(INDEX(CatalogUnit,MATCH($C48,CatalogNames,0)),"Unit"))</f>
        <v/>
      </c>
      <c r="F48" s="19" t="n"/>
      <c r="G48" s="9">
        <f>IF($C48="","",IFERROR(INDEX(CatalogPrice,MATCH($C48,CatalogNames,0)),0))</f>
        <v/>
      </c>
      <c r="H48" s="20" t="n"/>
      <c r="I48" s="21">
        <f>IF($C48="","",IF(UPPER($A48)="N",0,ROUND($F48*IF($H48="",$G48,$H48),2)))</f>
        <v/>
      </c>
    </row>
    <row r="49" ht="34" customHeight="1">
      <c r="A49" s="14" t="n"/>
      <c r="B49" s="15">
        <f>IF($C49="","",IFERROR(INDEX(CatalogGroup,MATCH($C49,CatalogNames,0)),"Custom"))</f>
        <v/>
      </c>
      <c r="C49" s="16" t="n"/>
      <c r="D49" s="17">
        <f>IF($C49="","",IFERROR(INDEX(CatalogDesc,MATCH($C49,CatalogNames,0)),""))</f>
        <v/>
      </c>
      <c r="E49" s="18">
        <f>IF($C49="","",IFERROR(INDEX(CatalogUnit,MATCH($C49,CatalogNames,0)),"Unit"))</f>
        <v/>
      </c>
      <c r="F49" s="19" t="n"/>
      <c r="G49" s="9">
        <f>IF($C49="","",IFERROR(INDEX(CatalogPrice,MATCH($C49,CatalogNames,0)),0))</f>
        <v/>
      </c>
      <c r="H49" s="20" t="n"/>
      <c r="I49" s="21">
        <f>IF($C49="","",IF(UPPER($A49)="N",0,ROUND($F49*IF($H49="",$G49,$H49),2)))</f>
        <v/>
      </c>
    </row>
    <row r="50" ht="34" customHeight="1">
      <c r="A50" s="14" t="n"/>
      <c r="B50" s="15">
        <f>IF($C50="","",IFERROR(INDEX(CatalogGroup,MATCH($C50,CatalogNames,0)),"Custom"))</f>
        <v/>
      </c>
      <c r="C50" s="16" t="n"/>
      <c r="D50" s="17">
        <f>IF($C50="","",IFERROR(INDEX(CatalogDesc,MATCH($C50,CatalogNames,0)),""))</f>
        <v/>
      </c>
      <c r="E50" s="18">
        <f>IF($C50="","",IFERROR(INDEX(CatalogUnit,MATCH($C50,CatalogNames,0)),"Unit"))</f>
        <v/>
      </c>
      <c r="F50" s="19" t="n"/>
      <c r="G50" s="9">
        <f>IF($C50="","",IFERROR(INDEX(CatalogPrice,MATCH($C50,CatalogNames,0)),0))</f>
        <v/>
      </c>
      <c r="H50" s="20" t="n"/>
      <c r="I50" s="21">
        <f>IF($C50="","",IF(UPPER($A50)="N",0,ROUND($F50*IF($H50="",$G50,$H50),2)))</f>
        <v/>
      </c>
    </row>
    <row r="52">
      <c r="G52" s="22" t="inlineStr">
        <is>
          <t>Subtotal</t>
        </is>
      </c>
      <c r="I52" s="23">
        <f>ROUND(SUM($I$6:$I$50),2)</f>
        <v/>
      </c>
    </row>
    <row r="54">
      <c r="A54" s="2" t="inlineStr">
        <is>
          <t>Rows 6–21 are a worked example of a mid-size platform rollout. Replace them with your scope — clear the Line Item cell to blank a row, or set Include? to N to keep it visible at $0 for the client to consider.</t>
        </is>
      </c>
    </row>
  </sheetData>
  <dataValidations count="2">
    <dataValidation sqref="A6:A50" showDropDown="0" showInputMessage="0" showErrorMessage="0" allowBlank="1" error="Enter Y to include this line in the total, or N to price it at zero." type="list">
      <formula1>"Y,N"</formula1>
    </dataValidation>
    <dataValidation sqref="C6:C50" showDropDown="0" showInputMessage="0" showErrorMessage="0" allowBlank="1" error="Pick a line from the Price Book, or type a custom name and set the Agreed Price yourself." promptTitle="Line item" prompt="Pick from the price book, or type your own and fill in Agreed Price." type="list" errorStyle="warning">
      <formula1>=CatalogNames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34" customWidth="1" min="3" max="3"/>
    <col width="60" customWidth="1" min="4" max="4"/>
    <col width="60" customWidth="1" min="5" max="5"/>
    <col width="11" customWidth="1" min="6" max="6"/>
    <col width="13" customWidth="1" min="7" max="7"/>
    <col width="13" customWidth="1" min="8" max="8"/>
    <col width="40" customWidth="1" min="9" max="9"/>
  </cols>
  <sheetData>
    <row r="1">
      <c r="A1" s="1" t="inlineStr">
        <is>
          <t>Deliverables</t>
        </is>
      </c>
    </row>
    <row r="2">
      <c r="A2" s="2" t="inlineStr">
        <is>
          <t>EDIT THIS SHEET. One row per thing we owe. Acceptance criteria are what the client measures it against — argue them here, not after invoicing.</t>
        </is>
      </c>
    </row>
    <row r="3" ht="3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5" ht="30" customHeight="1">
      <c r="A5" s="13" t="inlineStr">
        <is>
          <t>#</t>
        </is>
      </c>
      <c r="B5" s="13" t="inlineStr">
        <is>
          <t>Fee Schedule line</t>
        </is>
      </c>
      <c r="C5" s="13" t="inlineStr">
        <is>
          <t>Deliverable</t>
        </is>
      </c>
      <c r="D5" s="13" t="inlineStr">
        <is>
          <t>What it includes</t>
        </is>
      </c>
      <c r="E5" s="13" t="inlineStr">
        <is>
          <t>Acceptance criteria</t>
        </is>
      </c>
      <c r="F5" s="13" t="inlineStr">
        <is>
          <t>Owner</t>
        </is>
      </c>
      <c r="G5" s="13" t="inlineStr">
        <is>
          <t>Target date</t>
        </is>
      </c>
      <c r="H5" s="13" t="inlineStr">
        <is>
          <t>Status</t>
        </is>
      </c>
      <c r="I5" s="13" t="inlineStr">
        <is>
          <t>Client comments</t>
        </is>
      </c>
    </row>
    <row r="6" ht="46" customHeight="1">
      <c r="A6" s="24">
        <f>IF($C6="","",COUNTA($C$6:$C6))</f>
        <v/>
      </c>
      <c r="B6" s="16" t="inlineStr">
        <is>
          <t>Discovery &amp; Intake</t>
        </is>
      </c>
      <c r="C6" s="16" t="inlineStr">
        <is>
          <t>Discovery findings and configuration plan</t>
        </is>
      </c>
      <c r="D6" s="16" t="inlineStr">
        <is>
          <t>Objectives workshop, current document inventory, user and role map, jobsite list, and the agreed configuration priorities.</t>
        </is>
      </c>
      <c r="E6" s="16" t="inlineStr">
        <is>
          <t>Client confirms in writing that the user map, jobsite list and configuration priorities are correct.</t>
        </is>
      </c>
      <c r="F6" s="25" t="inlineStr">
        <is>
          <t>Joint</t>
        </is>
      </c>
      <c r="G6" s="25" t="n"/>
      <c r="H6" s="25" t="inlineStr">
        <is>
          <t>Proposed</t>
        </is>
      </c>
      <c r="I6" s="16" t="n"/>
    </row>
    <row r="7" ht="46" customHeight="1">
      <c r="A7" s="26">
        <f>IF($C7="","",COUNTA($C$6:$C7))</f>
        <v/>
      </c>
      <c r="B7" s="27" t="inlineStr">
        <is>
          <t>Build &amp; Configure</t>
        </is>
      </c>
      <c r="C7" s="27" t="inlineStr">
        <is>
          <t>Configured platform tenant</t>
        </is>
      </c>
      <c r="D7" s="27" t="inlineStr">
        <is>
          <t>Modules, templates, dashboards, workflows, permission groups and billing package selections configured in the client tenant.</t>
        </is>
      </c>
      <c r="E7" s="27" t="inlineStr">
        <is>
          <t>Every module in the schedule is reachable by its intended role in the client tenant.</t>
        </is>
      </c>
      <c r="F7" s="28" t="inlineStr">
        <is>
          <t>Reliance</t>
        </is>
      </c>
      <c r="G7" s="28" t="n"/>
      <c r="H7" s="28" t="inlineStr">
        <is>
          <t>Proposed</t>
        </is>
      </c>
      <c r="I7" s="27" t="n"/>
    </row>
    <row r="8" ht="46" customHeight="1">
      <c r="A8" s="24">
        <f>IF($C8="","",COUNTA($C$6:$C8))</f>
        <v/>
      </c>
      <c r="B8" s="16" t="inlineStr">
        <is>
          <t>Validation &amp; Review</t>
        </is>
      </c>
      <c r="C8" s="16" t="inlineStr">
        <is>
          <t>Validation report and corrected configuration</t>
        </is>
      </c>
      <c r="D8" s="16" t="inlineStr">
        <is>
          <t>Sample outputs reviewed, required fields confirmed, reporting logic verified, workflows tested, gaps corrected before launch.</t>
        </is>
      </c>
      <c r="E8" s="16" t="inlineStr">
        <is>
          <t>All defects found in validation are closed or accepted in writing by the client.</t>
        </is>
      </c>
      <c r="F8" s="25" t="inlineStr">
        <is>
          <t>Joint</t>
        </is>
      </c>
      <c r="G8" s="25" t="n"/>
      <c r="H8" s="25" t="inlineStr">
        <is>
          <t>Proposed</t>
        </is>
      </c>
      <c r="I8" s="16" t="n"/>
    </row>
    <row r="9" ht="46" customHeight="1">
      <c r="A9" s="26">
        <f>IF($C9="","",COUNTA($C$6:$C9))</f>
        <v/>
      </c>
      <c r="B9" s="27" t="inlineStr">
        <is>
          <t>Launch &amp; Training</t>
        </is>
      </c>
      <c r="C9" s="27" t="inlineStr">
        <is>
          <t>Go-live and trained user base</t>
        </is>
      </c>
      <c r="D9" s="27" t="inlineStr">
        <is>
          <t>Rollout support, user training sessions, manager review, reporting cadence, and go-live stabilization.</t>
        </is>
      </c>
      <c r="E9" s="27" t="inlineStr">
        <is>
          <t>Named users complete training and the platform is in production use at the agreed sites.</t>
        </is>
      </c>
      <c r="F9" s="28" t="inlineStr">
        <is>
          <t>Reliance</t>
        </is>
      </c>
      <c r="G9" s="28" t="n"/>
      <c r="H9" s="28" t="inlineStr">
        <is>
          <t>Proposed</t>
        </is>
      </c>
      <c r="I9" s="27" t="n"/>
    </row>
    <row r="10" ht="46" customHeight="1">
      <c r="A10" s="24">
        <f>IF($C10="","",COUNTA($C$6:$C10))</f>
        <v/>
      </c>
      <c r="B10" s="16" t="inlineStr">
        <is>
          <t>Predictive Risk Intelligence</t>
        </is>
      </c>
      <c r="C10" s="16" t="inlineStr">
        <is>
          <t>Leading indicator model and executive dashboard</t>
        </is>
      </c>
      <c r="D10" s="16" t="inlineStr">
        <is>
          <t>Precursor cells, trend logic, risk scoring, dashboard review and the executive summary output.</t>
        </is>
      </c>
      <c r="E10" s="16" t="inlineStr">
        <is>
          <t>Risk scores render for each configured site and the executive summary reconciles to source records.</t>
        </is>
      </c>
      <c r="F10" s="25" t="inlineStr">
        <is>
          <t>Reliance</t>
        </is>
      </c>
      <c r="G10" s="25" t="n"/>
      <c r="H10" s="25" t="inlineStr">
        <is>
          <t>Proposed</t>
        </is>
      </c>
      <c r="I10" s="16" t="n"/>
    </row>
    <row r="11" ht="46" customHeight="1">
      <c r="A11" s="26">
        <f>IF($C11="","",COUNTA($C$6:$C11))</f>
        <v/>
      </c>
      <c r="B11" s="27" t="inlineStr">
        <is>
          <t>Training Matrix &amp; Certification Tracking</t>
        </is>
      </c>
      <c r="C11" s="27" t="inlineStr">
        <is>
          <t>Role-based training matrix</t>
        </is>
      </c>
      <c r="D11" s="27" t="inlineStr">
        <is>
          <t>Training matrix by role, expiration tracking, missing-training summaries and compliance reporting.</t>
        </is>
      </c>
      <c r="E11" s="27" t="inlineStr">
        <is>
          <t>Every role in the client's org chart maps to a training requirement set with expiry dates.</t>
        </is>
      </c>
      <c r="F11" s="28" t="inlineStr">
        <is>
          <t>Reliance</t>
        </is>
      </c>
      <c r="G11" s="28" t="n"/>
      <c r="H11" s="28" t="inlineStr">
        <is>
          <t>Proposed</t>
        </is>
      </c>
      <c r="I11" s="27" t="n"/>
    </row>
    <row r="12" ht="46" customHeight="1">
      <c r="A12" s="24">
        <f>IF($C12="","",COUNTA($C$6:$C12))</f>
        <v/>
      </c>
      <c r="B12" s="16" t="inlineStr">
        <is>
          <t>Mobile Field App Enablement</t>
        </is>
      </c>
      <c r="C12" s="16" t="inlineStr">
        <is>
          <t>Field app in production</t>
        </is>
      </c>
      <c r="D12" s="16" t="inlineStr">
        <is>
          <t>Field issue capture, JSA support, inspection entry, photo observations and mobile user rollout support.</t>
        </is>
      </c>
      <c r="E12" s="16" t="inlineStr">
        <is>
          <t>Field users can submit an inspection and a photo observation from a jobsite device.</t>
        </is>
      </c>
      <c r="F12" s="25" t="inlineStr">
        <is>
          <t>Reliance</t>
        </is>
      </c>
      <c r="G12" s="25" t="n"/>
      <c r="H12" s="25" t="inlineStr">
        <is>
          <t>Proposed</t>
        </is>
      </c>
      <c r="I12" s="16" t="n"/>
    </row>
    <row r="13" ht="46" customHeight="1">
      <c r="A13" s="26">
        <f>IF($C13="","",COUNTA($C$6:$C13))</f>
        <v/>
      </c>
      <c r="B13" s="27" t="inlineStr">
        <is>
          <t>Safety Document — Medium (≤60 pg)</t>
        </is>
      </c>
      <c r="C13" s="27" t="inlineStr">
        <is>
          <t>Four written safety programs</t>
        </is>
      </c>
      <c r="D13" s="27" t="inlineStr">
        <is>
          <t>Four safety programs drafted to the client's operations, each up to 60 pages, with a revision record.</t>
        </is>
      </c>
      <c r="E13" s="27" t="inlineStr">
        <is>
          <t>Each program is delivered in the agreed format and cites the regulations applicable to the client's scopes of work.</t>
        </is>
      </c>
      <c r="F13" s="28" t="inlineStr">
        <is>
          <t>Reliance</t>
        </is>
      </c>
      <c r="G13" s="28" t="n"/>
      <c r="H13" s="28" t="inlineStr">
        <is>
          <t>Proposed</t>
        </is>
      </c>
      <c r="I13" s="27" t="n"/>
    </row>
    <row r="14" ht="46" customHeight="1">
      <c r="A14" s="24">
        <f>IF($C14="","",COUNTA($C$6:$C14))</f>
        <v/>
      </c>
      <c r="B14" s="16" t="inlineStr">
        <is>
          <t>OSHA 30 Training</t>
        </is>
      </c>
      <c r="C14" s="16" t="inlineStr">
        <is>
          <t>Six supervisors OSHA 30 certified</t>
        </is>
      </c>
      <c r="D14" s="16" t="inlineStr">
        <is>
          <t>OSHA 30-hour outreach course for supervisors and safety leads. Department of Labor cards issued to each attendee.</t>
        </is>
      </c>
      <c r="E14" s="16" t="inlineStr">
        <is>
          <t>Six named attendees complete the course and receive DOL cards.</t>
        </is>
      </c>
      <c r="F14" s="25" t="inlineStr">
        <is>
          <t>Reliance</t>
        </is>
      </c>
      <c r="G14" s="25" t="n"/>
      <c r="H14" s="25" t="inlineStr">
        <is>
          <t>Proposed</t>
        </is>
      </c>
      <c r="I14" s="16" t="n"/>
    </row>
    <row r="15" ht="46" customHeight="1">
      <c r="A15" s="26">
        <f>IF($C15="","",COUNTA($C$6:$C15))</f>
        <v/>
      </c>
      <c r="B15" s="27" t="inlineStr">
        <is>
          <t>Compliance Audit</t>
        </is>
      </c>
      <c r="C15" s="27" t="inlineStr">
        <is>
          <t>Two compliance audits with corrective action plans</t>
        </is>
      </c>
      <c r="D15" s="27" t="inlineStr">
        <is>
          <t>Structured audit against OSHA and company program requirements, delivered as a scored findings report.</t>
        </is>
      </c>
      <c r="E15" s="27" t="inlineStr">
        <is>
          <t>Each audit is delivered with prioritized corrective actions and due dates assigned to named owners.</t>
        </is>
      </c>
      <c r="F15" s="28" t="inlineStr">
        <is>
          <t>Reliance</t>
        </is>
      </c>
      <c r="G15" s="28" t="n"/>
      <c r="H15" s="28" t="inlineStr">
        <is>
          <t>Proposed</t>
        </is>
      </c>
      <c r="I15" s="27" t="n"/>
    </row>
    <row r="16" ht="46" customHeight="1">
      <c r="A16" s="24">
        <f>IF($C16="","",COUNTA($C$6:$C16))</f>
        <v/>
      </c>
      <c r="B16" s="16" t="inlineStr">
        <is>
          <t>Field Support Day</t>
        </is>
      </c>
      <c r="C16" s="16" t="inlineStr">
        <is>
          <t>Four field support days</t>
        </is>
      </c>
      <c r="D16" s="16" t="inlineStr">
        <is>
          <t>Pre-task briefings, field observations, corrective coaching and a written end-of-day summary for management.</t>
        </is>
      </c>
      <c r="E16" s="16" t="inlineStr">
        <is>
          <t>A written end-of-day summary is delivered to management for each day worked.</t>
        </is>
      </c>
      <c r="F16" s="25" t="inlineStr">
        <is>
          <t>Reliance</t>
        </is>
      </c>
      <c r="G16" s="25" t="n"/>
      <c r="H16" s="25" t="inlineStr">
        <is>
          <t>Proposed</t>
        </is>
      </c>
      <c r="I16" s="16" t="n"/>
    </row>
    <row r="17" ht="46" customHeight="1">
      <c r="A17" s="26">
        <f>IF($C17="","",COUNTA($C$6:$C17))</f>
        <v/>
      </c>
      <c r="B17" s="27" t="inlineStr">
        <is>
          <t>Client obligations</t>
        </is>
      </c>
      <c r="C17" s="27" t="inlineStr">
        <is>
          <t>Client-side inputs</t>
        </is>
      </c>
      <c r="D17" s="27" t="inlineStr">
        <is>
          <t>Current safety documents, org chart and user list, site list, and a named point of contact for approvals.</t>
        </is>
      </c>
      <c r="E17" s="27" t="inlineStr">
        <is>
          <t>Inputs are provided within 10 business days of kickoff; delays move the schedule day for day.</t>
        </is>
      </c>
      <c r="F17" s="28" t="inlineStr">
        <is>
          <t>Client</t>
        </is>
      </c>
      <c r="G17" s="28" t="n"/>
      <c r="H17" s="28" t="inlineStr">
        <is>
          <t>Proposed</t>
        </is>
      </c>
      <c r="I17" s="27" t="n"/>
    </row>
    <row r="18" ht="46" customHeight="1">
      <c r="A18" s="24">
        <f>IF($C18="","",COUNTA($C$6:$C18))</f>
        <v/>
      </c>
      <c r="B18" s="16" t="n"/>
      <c r="C18" s="16" t="n"/>
      <c r="D18" s="16" t="n"/>
      <c r="E18" s="16" t="n"/>
      <c r="F18" s="25" t="n"/>
      <c r="G18" s="25" t="n"/>
      <c r="H18" s="25" t="n"/>
      <c r="I18" s="16" t="n"/>
    </row>
    <row r="19" ht="46" customHeight="1">
      <c r="A19" s="26">
        <f>IF($C19="","",COUNTA($C$6:$C19))</f>
        <v/>
      </c>
      <c r="B19" s="27" t="n"/>
      <c r="C19" s="27" t="n"/>
      <c r="D19" s="27" t="n"/>
      <c r="E19" s="27" t="n"/>
      <c r="F19" s="28" t="n"/>
      <c r="G19" s="28" t="n"/>
      <c r="H19" s="28" t="n"/>
      <c r="I19" s="27" t="n"/>
    </row>
    <row r="20" ht="46" customHeight="1">
      <c r="A20" s="24">
        <f>IF($C20="","",COUNTA($C$6:$C20))</f>
        <v/>
      </c>
      <c r="B20" s="16" t="n"/>
      <c r="C20" s="16" t="n"/>
      <c r="D20" s="16" t="n"/>
      <c r="E20" s="16" t="n"/>
      <c r="F20" s="25" t="n"/>
      <c r="G20" s="25" t="n"/>
      <c r="H20" s="25" t="n"/>
      <c r="I20" s="16" t="n"/>
    </row>
    <row r="21" ht="46" customHeight="1">
      <c r="A21" s="26">
        <f>IF($C21="","",COUNTA($C$6:$C21))</f>
        <v/>
      </c>
      <c r="B21" s="27" t="n"/>
      <c r="C21" s="27" t="n"/>
      <c r="D21" s="27" t="n"/>
      <c r="E21" s="27" t="n"/>
      <c r="F21" s="28" t="n"/>
      <c r="G21" s="28" t="n"/>
      <c r="H21" s="28" t="n"/>
      <c r="I21" s="27" t="n"/>
    </row>
    <row r="22" ht="46" customHeight="1">
      <c r="A22" s="24">
        <f>IF($C22="","",COUNTA($C$6:$C22))</f>
        <v/>
      </c>
      <c r="B22" s="16" t="n"/>
      <c r="C22" s="16" t="n"/>
      <c r="D22" s="16" t="n"/>
      <c r="E22" s="16" t="n"/>
      <c r="F22" s="25" t="n"/>
      <c r="G22" s="25" t="n"/>
      <c r="H22" s="25" t="n"/>
      <c r="I22" s="16" t="n"/>
    </row>
    <row r="23" ht="46" customHeight="1">
      <c r="A23" s="26">
        <f>IF($C23="","",COUNTA($C$6:$C23))</f>
        <v/>
      </c>
      <c r="B23" s="27" t="n"/>
      <c r="C23" s="27" t="n"/>
      <c r="D23" s="27" t="n"/>
      <c r="E23" s="27" t="n"/>
      <c r="F23" s="28" t="n"/>
      <c r="G23" s="28" t="n"/>
      <c r="H23" s="28" t="n"/>
      <c r="I23" s="27" t="n"/>
    </row>
    <row r="24" ht="46" customHeight="1">
      <c r="A24" s="24">
        <f>IF($C24="","",COUNTA($C$6:$C24))</f>
        <v/>
      </c>
      <c r="B24" s="16" t="n"/>
      <c r="C24" s="16" t="n"/>
      <c r="D24" s="16" t="n"/>
      <c r="E24" s="16" t="n"/>
      <c r="F24" s="25" t="n"/>
      <c r="G24" s="25" t="n"/>
      <c r="H24" s="25" t="n"/>
      <c r="I24" s="16" t="n"/>
    </row>
    <row r="25" ht="46" customHeight="1">
      <c r="A25" s="26">
        <f>IF($C25="","",COUNTA($C$6:$C25))</f>
        <v/>
      </c>
      <c r="B25" s="27" t="n"/>
      <c r="C25" s="27" t="n"/>
      <c r="D25" s="27" t="n"/>
      <c r="E25" s="27" t="n"/>
      <c r="F25" s="28" t="n"/>
      <c r="G25" s="28" t="n"/>
      <c r="H25" s="28" t="n"/>
      <c r="I25" s="27" t="n"/>
    </row>
    <row r="26" ht="46" customHeight="1">
      <c r="A26" s="24">
        <f>IF($C26="","",COUNTA($C$6:$C26))</f>
        <v/>
      </c>
      <c r="B26" s="16" t="n"/>
      <c r="C26" s="16" t="n"/>
      <c r="D26" s="16" t="n"/>
      <c r="E26" s="16" t="n"/>
      <c r="F26" s="25" t="n"/>
      <c r="G26" s="25" t="n"/>
      <c r="H26" s="25" t="n"/>
      <c r="I26" s="16" t="n"/>
    </row>
    <row r="27" ht="46" customHeight="1">
      <c r="A27" s="26">
        <f>IF($C27="","",COUNTA($C$6:$C27))</f>
        <v/>
      </c>
      <c r="B27" s="27" t="n"/>
      <c r="C27" s="27" t="n"/>
      <c r="D27" s="27" t="n"/>
      <c r="E27" s="27" t="n"/>
      <c r="F27" s="28" t="n"/>
      <c r="G27" s="28" t="n"/>
      <c r="H27" s="28" t="n"/>
      <c r="I27" s="27" t="n"/>
    </row>
    <row r="28" ht="46" customHeight="1">
      <c r="A28" s="24">
        <f>IF($C28="","",COUNTA($C$6:$C28))</f>
        <v/>
      </c>
      <c r="B28" s="16" t="n"/>
      <c r="C28" s="16" t="n"/>
      <c r="D28" s="16" t="n"/>
      <c r="E28" s="16" t="n"/>
      <c r="F28" s="25" t="n"/>
      <c r="G28" s="25" t="n"/>
      <c r="H28" s="25" t="n"/>
      <c r="I28" s="16" t="n"/>
    </row>
    <row r="29" ht="46" customHeight="1">
      <c r="A29" s="26">
        <f>IF($C29="","",COUNTA($C$6:$C29))</f>
        <v/>
      </c>
      <c r="B29" s="27" t="n"/>
      <c r="C29" s="27" t="n"/>
      <c r="D29" s="27" t="n"/>
      <c r="E29" s="27" t="n"/>
      <c r="F29" s="28" t="n"/>
      <c r="G29" s="28" t="n"/>
      <c r="H29" s="28" t="n"/>
      <c r="I29" s="27" t="n"/>
    </row>
    <row r="30" ht="46" customHeight="1">
      <c r="A30" s="24">
        <f>IF($C30="","",COUNTA($C$6:$C30))</f>
        <v/>
      </c>
      <c r="B30" s="16" t="n"/>
      <c r="C30" s="16" t="n"/>
      <c r="D30" s="16" t="n"/>
      <c r="E30" s="16" t="n"/>
      <c r="F30" s="25" t="n"/>
      <c r="G30" s="25" t="n"/>
      <c r="H30" s="25" t="n"/>
      <c r="I30" s="16" t="n"/>
    </row>
    <row r="31" ht="46" customHeight="1">
      <c r="A31" s="26">
        <f>IF($C31="","",COUNTA($C$6:$C31))</f>
        <v/>
      </c>
      <c r="B31" s="27" t="n"/>
      <c r="C31" s="27" t="n"/>
      <c r="D31" s="27" t="n"/>
      <c r="E31" s="27" t="n"/>
      <c r="F31" s="28" t="n"/>
      <c r="G31" s="28" t="n"/>
      <c r="H31" s="28" t="n"/>
      <c r="I31" s="27" t="n"/>
    </row>
    <row r="32" ht="46" customHeight="1">
      <c r="A32" s="24">
        <f>IF($C32="","",COUNTA($C$6:$C32))</f>
        <v/>
      </c>
      <c r="B32" s="16" t="n"/>
      <c r="C32" s="16" t="n"/>
      <c r="D32" s="16" t="n"/>
      <c r="E32" s="16" t="n"/>
      <c r="F32" s="25" t="n"/>
      <c r="G32" s="25" t="n"/>
      <c r="H32" s="25" t="n"/>
      <c r="I32" s="16" t="n"/>
    </row>
    <row r="33" ht="46" customHeight="1">
      <c r="A33" s="26">
        <f>IF($C33="","",COUNTA($C$6:$C33))</f>
        <v/>
      </c>
      <c r="B33" s="27" t="n"/>
      <c r="C33" s="27" t="n"/>
      <c r="D33" s="27" t="n"/>
      <c r="E33" s="27" t="n"/>
      <c r="F33" s="28" t="n"/>
      <c r="G33" s="28" t="n"/>
      <c r="H33" s="28" t="n"/>
      <c r="I33" s="27" t="n"/>
    </row>
    <row r="34" ht="46" customHeight="1">
      <c r="A34" s="24">
        <f>IF($C34="","",COUNTA($C$6:$C34))</f>
        <v/>
      </c>
      <c r="B34" s="16" t="n"/>
      <c r="C34" s="16" t="n"/>
      <c r="D34" s="16" t="n"/>
      <c r="E34" s="16" t="n"/>
      <c r="F34" s="25" t="n"/>
      <c r="G34" s="25" t="n"/>
      <c r="H34" s="25" t="n"/>
      <c r="I34" s="16" t="n"/>
    </row>
    <row r="35" ht="46" customHeight="1">
      <c r="A35" s="26">
        <f>IF($C35="","",COUNTA($C$6:$C35))</f>
        <v/>
      </c>
      <c r="B35" s="27" t="n"/>
      <c r="C35" s="27" t="n"/>
      <c r="D35" s="27" t="n"/>
      <c r="E35" s="27" t="n"/>
      <c r="F35" s="28" t="n"/>
      <c r="G35" s="28" t="n"/>
      <c r="H35" s="28" t="n"/>
      <c r="I35" s="27" t="n"/>
    </row>
    <row r="37">
      <c r="D37" s="22" t="inlineStr">
        <is>
          <t>Deliverables listed</t>
        </is>
      </c>
      <c r="E37" s="29">
        <f>COUNTA($C$6:$C$35)</f>
        <v/>
      </c>
    </row>
    <row r="38">
      <c r="D38" s="30" t="inlineStr">
        <is>
          <t>Still marked Proposed</t>
        </is>
      </c>
      <c r="E38" s="31">
        <f>COUNTIF($H$6:$H$35,"Proposed")</f>
        <v/>
      </c>
    </row>
  </sheetData>
  <dataValidations count="3">
    <dataValidation sqref="F6:F35" showDropDown="0" showInputMessage="0" showErrorMessage="0" allowBlank="1" type="list">
      <formula1>"Reliance,Client,Joint"</formula1>
    </dataValidation>
    <dataValidation sqref="H6:H35" showDropDown="0" showInputMessage="0" showErrorMessage="0" allowBlank="1" type="list">
      <formula1>"Proposed,Agreed,Changed,Removed,Deferred"</formula1>
    </dataValidation>
    <dataValidation sqref="B6:B35" showDropDown="0" showInputMessage="0" showErrorMessage="0" allowBlank="1" type="list" errorStyle="warning">
      <formula1>=CatalogNames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28" customWidth="1" min="3" max="3"/>
    <col width="11" customWidth="1" min="4" max="4"/>
    <col width="16" customWidth="1" min="5" max="5"/>
    <col width="96" customWidth="1" min="6" max="6"/>
  </cols>
  <sheetData>
    <row r="1">
      <c r="A1" s="1" t="inlineStr">
        <is>
          <t>Price Book</t>
        </is>
      </c>
    </row>
    <row r="2">
      <c r="A2" s="2" t="inlineStr">
        <is>
          <t>Reference only — do not edit. Generated from lib/proposals/catalog.ts; the Fee Schedule looks every line up here by name.</t>
        </is>
      </c>
    </row>
    <row r="3" ht="3" customHeight="1">
      <c r="A3" s="3" t="n"/>
      <c r="B3" s="3" t="n"/>
      <c r="C3" s="3" t="n"/>
      <c r="D3" s="3" t="n"/>
      <c r="E3" s="3" t="n"/>
      <c r="F3" s="3" t="n"/>
    </row>
    <row r="5" ht="30" customHeight="1">
      <c r="A5" s="13" t="inlineStr">
        <is>
          <t>Line Item</t>
        </is>
      </c>
      <c r="B5" s="13" t="inlineStr">
        <is>
          <t>Type</t>
        </is>
      </c>
      <c r="C5" s="13" t="inlineStr">
        <is>
          <t>Group</t>
        </is>
      </c>
      <c r="D5" s="13" t="inlineStr">
        <is>
          <t>Unit</t>
        </is>
      </c>
      <c r="E5" s="13" t="inlineStr">
        <is>
          <t>List Price (USD)</t>
        </is>
      </c>
      <c r="F5" s="13" t="inlineStr">
        <is>
          <t>Standard Scope Description</t>
        </is>
      </c>
    </row>
    <row r="6">
      <c r="A6" s="32" t="inlineStr">
        <is>
          <t>Starter Compliance Platform</t>
        </is>
      </c>
      <c r="B6" s="15" t="inlineStr">
        <is>
          <t>Package</t>
        </is>
      </c>
      <c r="C6" s="15" t="inlineStr">
        <is>
          <t>Platform &amp; Licensing</t>
        </is>
      </c>
      <c r="D6" s="15" t="inlineStr">
        <is>
          <t>Term</t>
        </is>
      </c>
      <c r="E6" s="33" t="n">
        <v>35000</v>
      </c>
      <c r="F6" s="17" t="inlineStr">
        <is>
          <t>Core compliance support for a smaller operation or early-stage platform rollout. Includes 15 users across 1 jobsites.</t>
        </is>
      </c>
    </row>
    <row r="7">
      <c r="A7" s="34" t="inlineStr">
        <is>
          <t>Professional Safety Intelligence</t>
        </is>
      </c>
      <c r="B7" s="35" t="inlineStr">
        <is>
          <t>Package</t>
        </is>
      </c>
      <c r="C7" s="35" t="inlineStr">
        <is>
          <t>Platform &amp; Licensing</t>
        </is>
      </c>
      <c r="D7" s="35" t="inlineStr">
        <is>
          <t>Term</t>
        </is>
      </c>
      <c r="E7" s="36" t="n">
        <v>65000</v>
      </c>
      <c r="F7" s="37" t="inlineStr">
        <is>
          <t>Expanded safety management platform for active jobsite operations, document control, audits, and leadership reporting. Includes 50 users across 5 jobsites.</t>
        </is>
      </c>
    </row>
    <row r="8">
      <c r="A8" s="32" t="inlineStr">
        <is>
          <t>Enterprise Predictive Safety</t>
        </is>
      </c>
      <c r="B8" s="15" t="inlineStr">
        <is>
          <t>Package</t>
        </is>
      </c>
      <c r="C8" s="15" t="inlineStr">
        <is>
          <t>Platform &amp; Licensing</t>
        </is>
      </c>
      <c r="D8" s="15" t="inlineStr">
        <is>
          <t>Term</t>
        </is>
      </c>
      <c r="E8" s="33" t="n">
        <v>99500</v>
      </c>
      <c r="F8" s="17" t="inlineStr">
        <is>
          <t>Full multi-site safety intelligence package with stronger predictive risk capability, AI-supported review, and executive visibility. Includes 100 users across 10 jobsites.</t>
        </is>
      </c>
    </row>
    <row r="9">
      <c r="A9" s="34" t="inlineStr">
        <is>
          <t>Black Label Strategic Program</t>
        </is>
      </c>
      <c r="B9" s="35" t="inlineStr">
        <is>
          <t>Package</t>
        </is>
      </c>
      <c r="C9" s="35" t="inlineStr">
        <is>
          <t>Platform &amp; Licensing</t>
        </is>
      </c>
      <c r="D9" s="35" t="inlineStr">
        <is>
          <t>Term</t>
        </is>
      </c>
      <c r="E9" s="36" t="n">
        <v>155000</v>
      </c>
      <c r="F9" s="37" t="inlineStr">
        <is>
          <t>Strategic enterprise program for organizations requiring advanced safety intelligence, multi-site governance, and premium implementation support. Includes 250 users across 25 jobsites.</t>
        </is>
      </c>
    </row>
    <row r="10">
      <c r="A10" s="32" t="inlineStr">
        <is>
          <t>Pilot Program — Platform Access</t>
        </is>
      </c>
      <c r="B10" s="15" t="inlineStr">
        <is>
          <t>Package</t>
        </is>
      </c>
      <c r="C10" s="15" t="inlineStr">
        <is>
          <t>Platform &amp; Licensing</t>
        </is>
      </c>
      <c r="D10" s="15" t="inlineStr">
        <is>
          <t>Term</t>
        </is>
      </c>
      <c r="E10" s="33" t="n">
        <v>5000</v>
      </c>
      <c r="F10" s="17" t="inlineStr">
        <is>
          <t>A fixed-price pilot providing platform access for the included users and jobsites shown below, with no additional setup or licensing cost during the pilot term. Includes 50 users across 2 jobsites.</t>
        </is>
      </c>
    </row>
    <row r="11">
      <c r="A11" s="34" t="inlineStr">
        <is>
          <t>Discovery &amp; Intake</t>
        </is>
      </c>
      <c r="B11" s="35" t="inlineStr">
        <is>
          <t>Phase</t>
        </is>
      </c>
      <c r="C11" s="35" t="inlineStr">
        <is>
          <t>Implementation Phases</t>
        </is>
      </c>
      <c r="D11" s="35" t="inlineStr">
        <is>
          <t>Phase</t>
        </is>
      </c>
      <c r="E11" s="36" t="n">
        <v>3500</v>
      </c>
      <c r="F11" s="37" t="inlineStr">
        <is>
          <t>Confirm client objectives, gather current documents, map users, identify jobsite needs, and finalize configuration priorities.</t>
        </is>
      </c>
    </row>
    <row r="12">
      <c r="A12" s="32" t="inlineStr">
        <is>
          <t>Build &amp; Configure</t>
        </is>
      </c>
      <c r="B12" s="15" t="inlineStr">
        <is>
          <t>Phase</t>
        </is>
      </c>
      <c r="C12" s="15" t="inlineStr">
        <is>
          <t>Implementation Phases</t>
        </is>
      </c>
      <c r="D12" s="15" t="inlineStr">
        <is>
          <t>Phase</t>
        </is>
      </c>
      <c r="E12" s="33" t="n">
        <v>10000</v>
      </c>
      <c r="F12" s="17" t="inlineStr">
        <is>
          <t>Configure modules, templates, dashboards, workflows, permission groups, and billing package selections.</t>
        </is>
      </c>
    </row>
    <row r="13">
      <c r="A13" s="34" t="inlineStr">
        <is>
          <t>Validation &amp; Review</t>
        </is>
      </c>
      <c r="B13" s="35" t="inlineStr">
        <is>
          <t>Phase</t>
        </is>
      </c>
      <c r="C13" s="35" t="inlineStr">
        <is>
          <t>Implementation Phases</t>
        </is>
      </c>
      <c r="D13" s="35" t="inlineStr">
        <is>
          <t>Phase</t>
        </is>
      </c>
      <c r="E13" s="36" t="n">
        <v>6500</v>
      </c>
      <c r="F13" s="37" t="inlineStr">
        <is>
          <t>Review sample outputs, confirm required fields, verify reporting logic, test workflows, and correct gaps before launch.</t>
        </is>
      </c>
    </row>
    <row r="14">
      <c r="A14" s="32" t="inlineStr">
        <is>
          <t>Launch &amp; Training</t>
        </is>
      </c>
      <c r="B14" s="15" t="inlineStr">
        <is>
          <t>Phase</t>
        </is>
      </c>
      <c r="C14" s="15" t="inlineStr">
        <is>
          <t>Implementation Phases</t>
        </is>
      </c>
      <c r="D14" s="15" t="inlineStr">
        <is>
          <t>Phase</t>
        </is>
      </c>
      <c r="E14" s="33" t="n">
        <v>8000</v>
      </c>
      <c r="F14" s="17" t="inlineStr">
        <is>
          <t>Support rollout, user training, manager review, reporting cadence, and go-live stabilization.</t>
        </is>
      </c>
    </row>
    <row r="15">
      <c r="A15" s="34" t="inlineStr">
        <is>
          <t>Ongoing Support</t>
        </is>
      </c>
      <c r="B15" s="35" t="inlineStr">
        <is>
          <t>Phase</t>
        </is>
      </c>
      <c r="C15" s="35" t="inlineStr">
        <is>
          <t>Implementation Phases</t>
        </is>
      </c>
      <c r="D15" s="35" t="inlineStr">
        <is>
          <t>Phase</t>
        </is>
      </c>
      <c r="E15" s="36" t="n">
        <v>4500</v>
      </c>
      <c r="F15" s="37" t="inlineStr">
        <is>
          <t>Monthly account support, billing review, platform adjustments, and management reporting support.</t>
        </is>
      </c>
    </row>
    <row r="16">
      <c r="A16" s="32" t="inlineStr">
        <is>
          <t>Annual Platform License</t>
        </is>
      </c>
      <c r="B16" s="15" t="inlineStr">
        <is>
          <t>Service</t>
        </is>
      </c>
      <c r="C16" s="15" t="inlineStr">
        <is>
          <t>Platform &amp; Licensing</t>
        </is>
      </c>
      <c r="D16" s="15" t="inlineStr">
        <is>
          <t>Year</t>
        </is>
      </c>
      <c r="E16" s="33" t="n">
        <v>7500</v>
      </c>
      <c r="F16" s="17" t="inlineStr">
        <is>
          <t>Annual platform license / subscription for the SafetyDocs360 safety platform.</t>
        </is>
      </c>
    </row>
    <row r="17">
      <c r="A17" s="34" t="inlineStr">
        <is>
          <t>Per-User Annual License</t>
        </is>
      </c>
      <c r="B17" s="35" t="inlineStr">
        <is>
          <t>Service</t>
        </is>
      </c>
      <c r="C17" s="35" t="inlineStr">
        <is>
          <t>Platform &amp; Licensing</t>
        </is>
      </c>
      <c r="D17" s="35" t="inlineStr">
        <is>
          <t>User</t>
        </is>
      </c>
      <c r="E17" s="36" t="n">
        <v>299</v>
      </c>
      <c r="F17" s="37" t="inlineStr">
        <is>
          <t>Per-user annual seat license added to the active subscription (Qty = users).</t>
        </is>
      </c>
    </row>
    <row r="18">
      <c r="A18" s="32" t="inlineStr">
        <is>
          <t>Admin Setup / Onboarding</t>
        </is>
      </c>
      <c r="B18" s="15" t="inlineStr">
        <is>
          <t>Service</t>
        </is>
      </c>
      <c r="C18" s="15" t="inlineStr">
        <is>
          <t>Platform &amp; Licensing</t>
        </is>
      </c>
      <c r="D18" s="15" t="inlineStr">
        <is>
          <t>Project</t>
        </is>
      </c>
      <c r="E18" s="33" t="n">
        <v>2500</v>
      </c>
      <c r="F18" s="17" t="inlineStr">
        <is>
          <t>One-time platform setup, onboarding, and account configuration.</t>
        </is>
      </c>
    </row>
    <row r="19">
      <c r="A19" s="34" t="inlineStr">
        <is>
          <t>Implementation &amp; Platform Configuration</t>
        </is>
      </c>
      <c r="B19" s="35" t="inlineStr">
        <is>
          <t>Service</t>
        </is>
      </c>
      <c r="C19" s="35" t="inlineStr">
        <is>
          <t>Implementation &amp; Consulting</t>
        </is>
      </c>
      <c r="D19" s="35" t="inlineStr">
        <is>
          <t>Project</t>
        </is>
      </c>
      <c r="E19" s="36" t="n">
        <v>12500</v>
      </c>
      <c r="F19" s="37" t="inlineStr">
        <is>
          <t>Account setup, roles, permissions, branding, workflow configuration, and launch support.</t>
        </is>
      </c>
    </row>
    <row r="20">
      <c r="A20" s="32" t="inlineStr">
        <is>
          <t>Document Control / Program Builder</t>
        </is>
      </c>
      <c r="B20" s="15" t="inlineStr">
        <is>
          <t>Service</t>
        </is>
      </c>
      <c r="C20" s="15" t="inlineStr">
        <is>
          <t>Implementation &amp; Consulting</t>
        </is>
      </c>
      <c r="D20" s="15" t="inlineStr">
        <is>
          <t>Project</t>
        </is>
      </c>
      <c r="E20" s="33" t="n">
        <v>15000</v>
      </c>
      <c r="F20" s="17" t="inlineStr">
        <is>
          <t>Safety program document library, review workflow, revision history, template controls, and proposal-ready documentation outputs.</t>
        </is>
      </c>
    </row>
    <row r="21">
      <c r="A21" s="34" t="inlineStr">
        <is>
          <t>Audit / Inspection Module</t>
        </is>
      </c>
      <c r="B21" s="35" t="inlineStr">
        <is>
          <t>Service</t>
        </is>
      </c>
      <c r="C21" s="35" t="inlineStr">
        <is>
          <t>Implementation &amp; Consulting</t>
        </is>
      </c>
      <c r="D21" s="35" t="inlineStr">
        <is>
          <t>Project</t>
        </is>
      </c>
      <c r="E21" s="36" t="n">
        <v>12500</v>
      </c>
      <c r="F21" s="37" t="inlineStr">
        <is>
          <t>Configurable inspections, corrective actions, observation tracking, audit readiness reporting, and management review dashboards.</t>
        </is>
      </c>
    </row>
    <row r="22">
      <c r="A22" s="32" t="inlineStr">
        <is>
          <t>Predictive Risk Intelligence</t>
        </is>
      </c>
      <c r="B22" s="15" t="inlineStr">
        <is>
          <t>Service</t>
        </is>
      </c>
      <c r="C22" s="15" t="inlineStr">
        <is>
          <t>Implementation &amp; Consulting</t>
        </is>
      </c>
      <c r="D22" s="15" t="inlineStr">
        <is>
          <t>Project</t>
        </is>
      </c>
      <c r="E22" s="33" t="n">
        <v>22500</v>
      </c>
      <c r="F22" s="17" t="inlineStr">
        <is>
          <t>Leading indicator tracking, precursor cells, trend logic, risk scoring, dashboard review, and executive summary outputs.</t>
        </is>
      </c>
    </row>
    <row r="23">
      <c r="A23" s="34" t="inlineStr">
        <is>
          <t>Training Matrix &amp; Certification Tracking</t>
        </is>
      </c>
      <c r="B23" s="35" t="inlineStr">
        <is>
          <t>Service</t>
        </is>
      </c>
      <c r="C23" s="35" t="inlineStr">
        <is>
          <t>Implementation &amp; Consulting</t>
        </is>
      </c>
      <c r="D23" s="35" t="inlineStr">
        <is>
          <t>Project</t>
        </is>
      </c>
      <c r="E23" s="36" t="n">
        <v>9500</v>
      </c>
      <c r="F23" s="37" t="inlineStr">
        <is>
          <t>Role-based training matrix, expiration tracking, missing training summaries, and compliance reporting.</t>
        </is>
      </c>
    </row>
    <row r="24">
      <c r="A24" s="32" t="inlineStr">
        <is>
          <t>Weather / Lightning Alerts</t>
        </is>
      </c>
      <c r="B24" s="15" t="inlineStr">
        <is>
          <t>Service</t>
        </is>
      </c>
      <c r="C24" s="15" t="inlineStr">
        <is>
          <t>Implementation &amp; Consulting</t>
        </is>
      </c>
      <c r="D24" s="15" t="inlineStr">
        <is>
          <t>Project</t>
        </is>
      </c>
      <c r="E24" s="33" t="n">
        <v>5500</v>
      </c>
      <c r="F24" s="17" t="inlineStr">
        <is>
          <t>Jobsite weather zones, lightning thresholds, high wind triggers, heat/cold rules, and alert-ready workflow language.</t>
        </is>
      </c>
    </row>
    <row r="25">
      <c r="A25" s="34" t="inlineStr">
        <is>
          <t>Mobile Field App Enablement</t>
        </is>
      </c>
      <c r="B25" s="35" t="inlineStr">
        <is>
          <t>Service</t>
        </is>
      </c>
      <c r="C25" s="35" t="inlineStr">
        <is>
          <t>Implementation &amp; Consulting</t>
        </is>
      </c>
      <c r="D25" s="35" t="inlineStr">
        <is>
          <t>Project</t>
        </is>
      </c>
      <c r="E25" s="36" t="n">
        <v>18500</v>
      </c>
      <c r="F25" s="37" t="inlineStr">
        <is>
          <t>Field issue capture, JSA support, inspection entry, photo observations, and mobile user rollout support.</t>
        </is>
      </c>
    </row>
    <row r="26">
      <c r="A26" s="32" t="inlineStr">
        <is>
          <t>AI Gateway Validation Layer</t>
        </is>
      </c>
      <c r="B26" s="15" t="inlineStr">
        <is>
          <t>Service</t>
        </is>
      </c>
      <c r="C26" s="15" t="inlineStr">
        <is>
          <t>Implementation &amp; Consulting</t>
        </is>
      </c>
      <c r="D26" s="15" t="inlineStr">
        <is>
          <t>Project</t>
        </is>
      </c>
      <c r="E26" s="33" t="n">
        <v>27500</v>
      </c>
      <c r="F26" s="17" t="inlineStr">
        <is>
          <t>AI-supported validation gates for intake quality, missing data checks, risk classification, and document consistency review.</t>
        </is>
      </c>
    </row>
    <row r="27">
      <c r="A27" s="34" t="inlineStr">
        <is>
          <t>Custom Workflow Build</t>
        </is>
      </c>
      <c r="B27" s="35" t="inlineStr">
        <is>
          <t>Service</t>
        </is>
      </c>
      <c r="C27" s="35" t="inlineStr">
        <is>
          <t>Implementation &amp; Consulting</t>
        </is>
      </c>
      <c r="D27" s="35" t="inlineStr">
        <is>
          <t>Hour</t>
        </is>
      </c>
      <c r="E27" s="36" t="n">
        <v>225</v>
      </c>
      <c r="F27" s="37" t="inlineStr">
        <is>
          <t>Developer / configuration time for custom workflows and integrations (Qty = hours).</t>
        </is>
      </c>
    </row>
    <row r="28">
      <c r="A28" s="32" t="inlineStr">
        <is>
          <t>Document Review / Consulting</t>
        </is>
      </c>
      <c r="B28" s="15" t="inlineStr">
        <is>
          <t>Service</t>
        </is>
      </c>
      <c r="C28" s="15" t="inlineStr">
        <is>
          <t>Implementation &amp; Consulting</t>
        </is>
      </c>
      <c r="D28" s="15" t="inlineStr">
        <is>
          <t>Hour</t>
        </is>
      </c>
      <c r="E28" s="33" t="n">
        <v>150</v>
      </c>
      <c r="F28" s="17" t="inlineStr">
        <is>
          <t>Document review or consulting time, billed hourly (Qty = hours).</t>
        </is>
      </c>
    </row>
    <row r="29">
      <c r="A29" s="34" t="inlineStr">
        <is>
          <t>Additional User Block (25)</t>
        </is>
      </c>
      <c r="B29" s="35" t="inlineStr">
        <is>
          <t>Service</t>
        </is>
      </c>
      <c r="C29" s="35" t="inlineStr">
        <is>
          <t>Implementation &amp; Consulting</t>
        </is>
      </c>
      <c r="D29" s="35" t="inlineStr">
        <is>
          <t>Block</t>
        </is>
      </c>
      <c r="E29" s="36" t="n">
        <v>4500</v>
      </c>
      <c r="F29" s="37" t="inlineStr">
        <is>
          <t>Adds 25 additional user seats to the active subscription term.</t>
        </is>
      </c>
    </row>
    <row r="30">
      <c r="A30" s="32" t="inlineStr">
        <is>
          <t>Additional Jobsite Block</t>
        </is>
      </c>
      <c r="B30" s="15" t="inlineStr">
        <is>
          <t>Service</t>
        </is>
      </c>
      <c r="C30" s="15" t="inlineStr">
        <is>
          <t>Implementation &amp; Consulting</t>
        </is>
      </c>
      <c r="D30" s="15" t="inlineStr">
        <is>
          <t>Site</t>
        </is>
      </c>
      <c r="E30" s="33" t="n">
        <v>6500</v>
      </c>
      <c r="F30" s="17" t="inlineStr">
        <is>
          <t>Adds one additional jobsite / worksite profile to the active subscription term.</t>
        </is>
      </c>
    </row>
    <row r="31">
      <c r="A31" s="34" t="inlineStr">
        <is>
          <t>Safety Document — Short (≤35 pg)</t>
        </is>
      </c>
      <c r="B31" s="35" t="inlineStr">
        <is>
          <t>Service</t>
        </is>
      </c>
      <c r="C31" s="35" t="inlineStr">
        <is>
          <t>Safety Documents &amp; Programs</t>
        </is>
      </c>
      <c r="D31" s="35" t="inlineStr">
        <is>
          <t>Document</t>
        </is>
      </c>
      <c r="E31" s="36" t="n">
        <v>595</v>
      </c>
      <c r="F31" s="37" t="inlineStr">
        <is>
          <t>Safety document or program, short length (up to 35 pages).</t>
        </is>
      </c>
    </row>
    <row r="32">
      <c r="A32" s="32" t="inlineStr">
        <is>
          <t>Safety Document — Medium (≤60 pg)</t>
        </is>
      </c>
      <c r="B32" s="15" t="inlineStr">
        <is>
          <t>Service</t>
        </is>
      </c>
      <c r="C32" s="15" t="inlineStr">
        <is>
          <t>Safety Documents &amp; Programs</t>
        </is>
      </c>
      <c r="D32" s="15" t="inlineStr">
        <is>
          <t>Document</t>
        </is>
      </c>
      <c r="E32" s="33" t="n">
        <v>1150</v>
      </c>
      <c r="F32" s="17" t="inlineStr">
        <is>
          <t>Safety document or program, medium length (up to 60 pages).</t>
        </is>
      </c>
    </row>
    <row r="33">
      <c r="A33" s="34" t="inlineStr">
        <is>
          <t>Safety Document — Long (≤90 pg)</t>
        </is>
      </c>
      <c r="B33" s="35" t="inlineStr">
        <is>
          <t>Service</t>
        </is>
      </c>
      <c r="C33" s="35" t="inlineStr">
        <is>
          <t>Safety Documents &amp; Programs</t>
        </is>
      </c>
      <c r="D33" s="35" t="inlineStr">
        <is>
          <t>Document</t>
        </is>
      </c>
      <c r="E33" s="36" t="n">
        <v>2100</v>
      </c>
      <c r="F33" s="37" t="inlineStr">
        <is>
          <t>Safety document or program, long length (up to 90 pages).</t>
        </is>
      </c>
    </row>
    <row r="34">
      <c r="A34" s="32" t="inlineStr">
        <is>
          <t>Standard Review Package</t>
        </is>
      </c>
      <c r="B34" s="15" t="inlineStr">
        <is>
          <t>Service</t>
        </is>
      </c>
      <c r="C34" s="15" t="inlineStr">
        <is>
          <t>Safety Documents &amp; Programs</t>
        </is>
      </c>
      <c r="D34" s="15" t="inlineStr">
        <is>
          <t>Package</t>
        </is>
      </c>
      <c r="E34" s="33" t="n">
        <v>495</v>
      </c>
      <c r="F34" s="17" t="inlineStr">
        <is>
          <t>Review of one existing safety document for regulatory accuracy and completeness, returned with tracked comments and a summary of required edits.</t>
        </is>
      </c>
    </row>
    <row r="35">
      <c r="A35" s="34" t="inlineStr">
        <is>
          <t>Premium Review Package</t>
        </is>
      </c>
      <c r="B35" s="35" t="inlineStr">
        <is>
          <t>Service</t>
        </is>
      </c>
      <c r="C35" s="35" t="inlineStr">
        <is>
          <t>Safety Documents &amp; Programs</t>
        </is>
      </c>
      <c r="D35" s="35" t="inlineStr">
        <is>
          <t>Package</t>
        </is>
      </c>
      <c r="E35" s="36" t="n">
        <v>1350</v>
      </c>
      <c r="F35" s="37" t="inlineStr">
        <is>
          <t>Deep review of one existing safety document: regulatory citation check, gap analysis against your actual operations, and rewritten drafts of the deficient sections.</t>
        </is>
      </c>
    </row>
    <row r="36">
      <c r="A36" s="32" t="inlineStr">
        <is>
          <t>Annual Update Service</t>
        </is>
      </c>
      <c r="B36" s="15" t="inlineStr">
        <is>
          <t>Service</t>
        </is>
      </c>
      <c r="C36" s="15" t="inlineStr">
        <is>
          <t>Safety Documents &amp; Programs</t>
        </is>
      </c>
      <c r="D36" s="15" t="inlineStr">
        <is>
          <t>Year</t>
        </is>
      </c>
      <c r="E36" s="33" t="n">
        <v>550</v>
      </c>
      <c r="F36" s="17" t="inlineStr">
        <is>
          <t>Yearly refresh of a delivered document covering regulation changes, updated citations, revised organizational and contact details, and a new revision record.</t>
        </is>
      </c>
    </row>
    <row r="37">
      <c r="A37" s="34" t="inlineStr">
        <is>
          <t>OSHA 10 Training</t>
        </is>
      </c>
      <c r="B37" s="35" t="inlineStr">
        <is>
          <t>Service</t>
        </is>
      </c>
      <c r="C37" s="35" t="inlineStr">
        <is>
          <t>Training Catalog</t>
        </is>
      </c>
      <c r="D37" s="35" t="inlineStr">
        <is>
          <t>Person</t>
        </is>
      </c>
      <c r="E37" s="36" t="n">
        <v>210</v>
      </c>
      <c r="F37" s="37" t="inlineStr">
        <is>
          <t>OSHA 10-hour outreach course covering hazard recognition, worker rights, and the Focus Four hazards. Department of Labor cards are issued to each attendee.</t>
        </is>
      </c>
    </row>
    <row r="38">
      <c r="A38" s="32" t="inlineStr">
        <is>
          <t>OSHA 30 Training</t>
        </is>
      </c>
      <c r="B38" s="15" t="inlineStr">
        <is>
          <t>Service</t>
        </is>
      </c>
      <c r="C38" s="15" t="inlineStr">
        <is>
          <t>Training Catalog</t>
        </is>
      </c>
      <c r="D38" s="15" t="inlineStr">
        <is>
          <t>Person</t>
        </is>
      </c>
      <c r="E38" s="33" t="n">
        <v>510</v>
      </c>
      <c r="F38" s="17" t="inlineStr">
        <is>
          <t>OSHA 30-hour outreach course for supervisors and safety leads, covering hazard control, program administration, and OSHA recordkeeping. Department of Labor cards are issued to each attendee.</t>
        </is>
      </c>
    </row>
    <row r="39">
      <c r="A39" s="34" t="inlineStr">
        <is>
          <t>New Hire Safety Orientation</t>
        </is>
      </c>
      <c r="B39" s="35" t="inlineStr">
        <is>
          <t>Service</t>
        </is>
      </c>
      <c r="C39" s="35" t="inlineStr">
        <is>
          <t>Training Catalog</t>
        </is>
      </c>
      <c r="D39" s="35" t="inlineStr">
        <is>
          <t>Session</t>
        </is>
      </c>
      <c r="E39" s="36" t="n">
        <v>450</v>
      </c>
      <c r="F39" s="37" t="inlineStr">
        <is>
          <t>Site-specific orientation covering company safety rules, required PPE, hazard and injury reporting, emergency procedures, and signed acknowledgment for each new hire.</t>
        </is>
      </c>
    </row>
    <row r="40">
      <c r="A40" s="32" t="inlineStr">
        <is>
          <t>Supervisor Safety Leadership Training</t>
        </is>
      </c>
      <c r="B40" s="15" t="inlineStr">
        <is>
          <t>Service</t>
        </is>
      </c>
      <c r="C40" s="15" t="inlineStr">
        <is>
          <t>Training Catalog</t>
        </is>
      </c>
      <c r="D40" s="15" t="inlineStr">
        <is>
          <t>Session</t>
        </is>
      </c>
      <c r="E40" s="33" t="n">
        <v>850</v>
      </c>
      <c r="F40" s="17" t="inlineStr">
        <is>
          <t>Supervisor-level session on setting field expectations, coaching in the moment, documenting corrections, and running an effective pre-task safety briefing.</t>
        </is>
      </c>
    </row>
    <row r="41">
      <c r="A41" s="34" t="inlineStr">
        <is>
          <t>Toolbox Talk Program Development</t>
        </is>
      </c>
      <c r="B41" s="35" t="inlineStr">
        <is>
          <t>Service</t>
        </is>
      </c>
      <c r="C41" s="35" t="inlineStr">
        <is>
          <t>Training Catalog</t>
        </is>
      </c>
      <c r="D41" s="35" t="inlineStr">
        <is>
          <t>Session</t>
        </is>
      </c>
      <c r="E41" s="36" t="n">
        <v>300</v>
      </c>
      <c r="F41" s="37" t="inlineStr">
        <is>
          <t>Builds a rotating toolbox talk library matched to your scopes of work, with a delivery schedule, attendance forms, and a supervisor facilitation guide.</t>
        </is>
      </c>
    </row>
    <row r="42">
      <c r="A42" s="32" t="inlineStr">
        <is>
          <t>Fall Protection Training</t>
        </is>
      </c>
      <c r="B42" s="15" t="inlineStr">
        <is>
          <t>Service</t>
        </is>
      </c>
      <c r="C42" s="15" t="inlineStr">
        <is>
          <t>Training Catalog</t>
        </is>
      </c>
      <c r="D42" s="15" t="inlineStr">
        <is>
          <t>Person</t>
        </is>
      </c>
      <c r="E42" s="33" t="n">
        <v>80</v>
      </c>
      <c r="F42" s="17" t="inlineStr">
        <is>
          <t>Fall hazard recognition, harness inspection and fit, anchorage and connector selection, and rescue planning under 29 C.F.R. Part 1926 Subpart M.</t>
        </is>
      </c>
    </row>
    <row r="43">
      <c r="A43" s="34" t="inlineStr">
        <is>
          <t>Ladder Safety Training</t>
        </is>
      </c>
      <c r="B43" s="35" t="inlineStr">
        <is>
          <t>Service</t>
        </is>
      </c>
      <c r="C43" s="35" t="inlineStr">
        <is>
          <t>Training Catalog</t>
        </is>
      </c>
      <c r="D43" s="35" t="inlineStr">
        <is>
          <t>Session</t>
        </is>
      </c>
      <c r="E43" s="36" t="n">
        <v>350</v>
      </c>
      <c r="F43" s="37" t="inlineStr">
        <is>
          <t>Ladder selection and duty ratings, pre-use inspection, setup angle and securing, three-point contact, and the misuse patterns behind most ladder injuries.</t>
        </is>
      </c>
    </row>
    <row r="44">
      <c r="A44" s="32" t="inlineStr">
        <is>
          <t>Scaffold User Training</t>
        </is>
      </c>
      <c r="B44" s="15" t="inlineStr">
        <is>
          <t>Service</t>
        </is>
      </c>
      <c r="C44" s="15" t="inlineStr">
        <is>
          <t>Training Catalog</t>
        </is>
      </c>
      <c r="D44" s="15" t="inlineStr">
        <is>
          <t>Person</t>
        </is>
      </c>
      <c r="E44" s="33" t="n">
        <v>70</v>
      </c>
      <c r="F44" s="17" t="inlineStr">
        <is>
          <t>Scaffold user awareness covering safe access, guardrail and planking requirements, platform loading, tag systems, and what to report to the competent person.</t>
        </is>
      </c>
    </row>
    <row r="45">
      <c r="A45" s="34" t="inlineStr">
        <is>
          <t>MEWP / Aerial Lift Training</t>
        </is>
      </c>
      <c r="B45" s="35" t="inlineStr">
        <is>
          <t>Service</t>
        </is>
      </c>
      <c r="C45" s="35" t="inlineStr">
        <is>
          <t>Training Catalog</t>
        </is>
      </c>
      <c r="D45" s="35" t="inlineStr">
        <is>
          <t>Person</t>
        </is>
      </c>
      <c r="E45" s="36" t="n">
        <v>105</v>
      </c>
      <c r="F45" s="37" t="inlineStr">
        <is>
          <t>Operator training for boom and scissor lifts to ANSI A92 standards: pre-use inspection, fall restraint, ground conditions, and safe positioning near hazards.</t>
        </is>
      </c>
    </row>
    <row r="46">
      <c r="A46" s="32" t="inlineStr">
        <is>
          <t>Forklift / PIT Training</t>
        </is>
      </c>
      <c r="B46" s="15" t="inlineStr">
        <is>
          <t>Service</t>
        </is>
      </c>
      <c r="C46" s="15" t="inlineStr">
        <is>
          <t>Training Catalog</t>
        </is>
      </c>
      <c r="D46" s="15" t="inlineStr">
        <is>
          <t>Person</t>
        </is>
      </c>
      <c r="E46" s="33" t="n">
        <v>115</v>
      </c>
      <c r="F46" s="17" t="inlineStr">
        <is>
          <t>Powered industrial truck operator certification under 29 C.F.R. sec.1910.178, with classroom instruction, hands-on evaluation, and written operator authorization.</t>
        </is>
      </c>
    </row>
    <row r="47">
      <c r="A47" s="34" t="inlineStr">
        <is>
          <t>Rigging &amp; Signal Person Training</t>
        </is>
      </c>
      <c r="B47" s="35" t="inlineStr">
        <is>
          <t>Service</t>
        </is>
      </c>
      <c r="C47" s="35" t="inlineStr">
        <is>
          <t>Training Catalog</t>
        </is>
      </c>
      <c r="D47" s="35" t="inlineStr">
        <is>
          <t>Person</t>
        </is>
      </c>
      <c r="E47" s="36" t="n">
        <v>115</v>
      </c>
      <c r="F47" s="37" t="inlineStr">
        <is>
          <t>Sling selection and inspection, load weight and center of gravity, hitch configuration, and standard hand and voice signals for crane operations.</t>
        </is>
      </c>
    </row>
    <row r="48">
      <c r="A48" s="32" t="inlineStr">
        <is>
          <t>Crane Awareness Training</t>
        </is>
      </c>
      <c r="B48" s="15" t="inlineStr">
        <is>
          <t>Service</t>
        </is>
      </c>
      <c r="C48" s="15" t="inlineStr">
        <is>
          <t>Training Catalog</t>
        </is>
      </c>
      <c r="D48" s="15" t="inlineStr">
        <is>
          <t>Session</t>
        </is>
      </c>
      <c r="E48" s="33" t="n">
        <v>750</v>
      </c>
      <c r="F48" s="17" t="inlineStr">
        <is>
          <t>Awareness-level session on crane setup, load charts, swing radius, ground bearing pressure, and the exclusion zones that keep crews clear of suspended loads.</t>
        </is>
      </c>
    </row>
    <row r="49">
      <c r="A49" s="34" t="inlineStr">
        <is>
          <t>Confined Space Awareness Training</t>
        </is>
      </c>
      <c r="B49" s="35" t="inlineStr">
        <is>
          <t>Service</t>
        </is>
      </c>
      <c r="C49" s="35" t="inlineStr">
        <is>
          <t>Training Catalog</t>
        </is>
      </c>
      <c r="D49" s="35" t="inlineStr">
        <is>
          <t>Person</t>
        </is>
      </c>
      <c r="E49" s="36" t="n">
        <v>100</v>
      </c>
      <c r="F49" s="37" t="inlineStr">
        <is>
          <t>Permit and non-permit space identification, atmospheric hazards and monitoring, entry roles, attendant duties, and rescue expectations under 29 C.F.R. sec.1910.146.</t>
        </is>
      </c>
    </row>
    <row r="50">
      <c r="A50" s="32" t="inlineStr">
        <is>
          <t>Excavation / Trenching Safety Training</t>
        </is>
      </c>
      <c r="B50" s="15" t="inlineStr">
        <is>
          <t>Service</t>
        </is>
      </c>
      <c r="C50" s="15" t="inlineStr">
        <is>
          <t>Training Catalog</t>
        </is>
      </c>
      <c r="D50" s="15" t="inlineStr">
        <is>
          <t>Person</t>
        </is>
      </c>
      <c r="E50" s="33" t="n">
        <v>100</v>
      </c>
      <c r="F50" s="17" t="inlineStr">
        <is>
          <t>Soil classification, protective system selection, spoil placement, access and egress, and daily competent person inspection under 29 C.F.R. Part 1926 Subpart P.</t>
        </is>
      </c>
    </row>
    <row r="51">
      <c r="A51" s="34" t="inlineStr">
        <is>
          <t>Lockout / Tagout Training</t>
        </is>
      </c>
      <c r="B51" s="35" t="inlineStr">
        <is>
          <t>Service</t>
        </is>
      </c>
      <c r="C51" s="35" t="inlineStr">
        <is>
          <t>Training Catalog</t>
        </is>
      </c>
      <c r="D51" s="35" t="inlineStr">
        <is>
          <t>Person</t>
        </is>
      </c>
      <c r="E51" s="36" t="n">
        <v>85</v>
      </c>
      <c r="F51" s="37" t="inlineStr">
        <is>
          <t>Energy isolation procedures, authorized versus affected employee roles, group lockout, shift transfer, and verification of a zero energy state before work begins.</t>
        </is>
      </c>
    </row>
    <row r="52">
      <c r="A52" s="32" t="inlineStr">
        <is>
          <t>Hazard Communication Training</t>
        </is>
      </c>
      <c r="B52" s="15" t="inlineStr">
        <is>
          <t>Service</t>
        </is>
      </c>
      <c r="C52" s="15" t="inlineStr">
        <is>
          <t>Training Catalog</t>
        </is>
      </c>
      <c r="D52" s="15" t="inlineStr">
        <is>
          <t>Session</t>
        </is>
      </c>
      <c r="E52" s="33" t="n">
        <v>500</v>
      </c>
      <c r="F52" s="17" t="inlineStr">
        <is>
          <t>GHS labeling and pictograms, safety data sheet use, chemical inventory upkeep, and locating and following the written hazard communication program.</t>
        </is>
      </c>
    </row>
    <row r="53">
      <c r="A53" s="34" t="inlineStr">
        <is>
          <t>PPE Training</t>
        </is>
      </c>
      <c r="B53" s="35" t="inlineStr">
        <is>
          <t>Service</t>
        </is>
      </c>
      <c r="C53" s="35" t="inlineStr">
        <is>
          <t>Training Catalog</t>
        </is>
      </c>
      <c r="D53" s="35" t="inlineStr">
        <is>
          <t>Session</t>
        </is>
      </c>
      <c r="E53" s="36" t="n">
        <v>350</v>
      </c>
      <c r="F53" s="37" t="inlineStr">
        <is>
          <t>PPE hazard assessment, selection by exposure, fit and inspection, care and replacement, and the limits of each class of protective equipment.</t>
        </is>
      </c>
    </row>
    <row r="54">
      <c r="A54" s="32" t="inlineStr">
        <is>
          <t>Electrical Safety Awareness</t>
        </is>
      </c>
      <c r="B54" s="15" t="inlineStr">
        <is>
          <t>Service</t>
        </is>
      </c>
      <c r="C54" s="15" t="inlineStr">
        <is>
          <t>Training Catalog</t>
        </is>
      </c>
      <c r="D54" s="15" t="inlineStr">
        <is>
          <t>Session</t>
        </is>
      </c>
      <c r="E54" s="33" t="n">
        <v>850</v>
      </c>
      <c r="F54" s="17" t="inlineStr">
        <is>
          <t>Shock and arc flash hazard awareness, approach boundaries, GFCI and extension cord safety, and recognizing when work must be handed to a qualified person.</t>
        </is>
      </c>
    </row>
    <row r="55">
      <c r="A55" s="34" t="inlineStr">
        <is>
          <t>NFPA 70E Awareness Training</t>
        </is>
      </c>
      <c r="B55" s="35" t="inlineStr">
        <is>
          <t>Service</t>
        </is>
      </c>
      <c r="C55" s="35" t="inlineStr">
        <is>
          <t>Training Catalog</t>
        </is>
      </c>
      <c r="D55" s="35" t="inlineStr">
        <is>
          <t>Person</t>
        </is>
      </c>
      <c r="E55" s="36" t="n">
        <v>135</v>
      </c>
      <c r="F55" s="37" t="inlineStr">
        <is>
          <t>Arc flash risk assessment, incident energy and PPE category tables, equipment labeling requirements, and energized work permit expectations.</t>
        </is>
      </c>
    </row>
    <row r="56">
      <c r="A56" s="32" t="inlineStr">
        <is>
          <t>Hot Work / Fire Watch Training</t>
        </is>
      </c>
      <c r="B56" s="15" t="inlineStr">
        <is>
          <t>Service</t>
        </is>
      </c>
      <c r="C56" s="15" t="inlineStr">
        <is>
          <t>Training Catalog</t>
        </is>
      </c>
      <c r="D56" s="15" t="inlineStr">
        <is>
          <t>Session</t>
        </is>
      </c>
      <c r="E56" s="33" t="n">
        <v>500</v>
      </c>
      <c r="F56" s="17" t="inlineStr">
        <is>
          <t>Hot work permitting, combustible clearance and shielding, fire watch duties and equipment, and the required post-work monitoring period.</t>
        </is>
      </c>
    </row>
    <row r="57">
      <c r="A57" s="34" t="inlineStr">
        <is>
          <t>Fire Extinguisher Training</t>
        </is>
      </c>
      <c r="B57" s="35" t="inlineStr">
        <is>
          <t>Service</t>
        </is>
      </c>
      <c r="C57" s="35" t="inlineStr">
        <is>
          <t>Training Catalog</t>
        </is>
      </c>
      <c r="D57" s="35" t="inlineStr">
        <is>
          <t>Session</t>
        </is>
      </c>
      <c r="E57" s="36" t="n">
        <v>450</v>
      </c>
      <c r="F57" s="37" t="inlineStr">
        <is>
          <t>Extinguisher classes and matching, the PASS technique, deciding whether to fight or evacuate, and monthly inspection duties. Live discharge available on request.</t>
        </is>
      </c>
    </row>
    <row r="58">
      <c r="A58" s="32" t="inlineStr">
        <is>
          <t>Silica Awareness Training</t>
        </is>
      </c>
      <c r="B58" s="15" t="inlineStr">
        <is>
          <t>Service</t>
        </is>
      </c>
      <c r="C58" s="15" t="inlineStr">
        <is>
          <t>Training Catalog</t>
        </is>
      </c>
      <c r="D58" s="15" t="inlineStr">
        <is>
          <t>Session</t>
        </is>
      </c>
      <c r="E58" s="33" t="n">
        <v>650</v>
      </c>
      <c r="F58" s="17" t="inlineStr">
        <is>
          <t>Respirable crystalline silica exposure sources, Table 1 control methods, housekeeping restrictions, and medical surveillance triggers under 29 C.F.R. sec.1926.1153.</t>
        </is>
      </c>
    </row>
    <row r="59">
      <c r="A59" s="34" t="inlineStr">
        <is>
          <t>Respiratory Protection Training</t>
        </is>
      </c>
      <c r="B59" s="35" t="inlineStr">
        <is>
          <t>Service</t>
        </is>
      </c>
      <c r="C59" s="35" t="inlineStr">
        <is>
          <t>Training Catalog</t>
        </is>
      </c>
      <c r="D59" s="35" t="inlineStr">
        <is>
          <t>Person</t>
        </is>
      </c>
      <c r="E59" s="36" t="n">
        <v>85</v>
      </c>
      <c r="F59" s="37" t="inlineStr">
        <is>
          <t>Respirator selection, medical evaluation and fit test requirements, user seal checks, cartridge change schedules, and program administration under 29 C.F.R. sec.1910.134.</t>
        </is>
      </c>
    </row>
    <row r="60">
      <c r="A60" s="32" t="inlineStr">
        <is>
          <t>Hearing Conservation Training</t>
        </is>
      </c>
      <c r="B60" s="15" t="inlineStr">
        <is>
          <t>Service</t>
        </is>
      </c>
      <c r="C60" s="15" t="inlineStr">
        <is>
          <t>Training Catalog</t>
        </is>
      </c>
      <c r="D60" s="15" t="inlineStr">
        <is>
          <t>Session</t>
        </is>
      </c>
      <c r="E60" s="33" t="n">
        <v>450</v>
      </c>
      <c r="F60" s="17" t="inlineStr">
        <is>
          <t>Noise exposure and dose basics, audiometric testing, hearing protector selection and fit, and the elements of a written hearing conservation program.</t>
        </is>
      </c>
    </row>
    <row r="61">
      <c r="A61" s="34" t="inlineStr">
        <is>
          <t>Heat Illness Prevention Training</t>
        </is>
      </c>
      <c r="B61" s="35" t="inlineStr">
        <is>
          <t>Service</t>
        </is>
      </c>
      <c r="C61" s="35" t="inlineStr">
        <is>
          <t>Training Catalog</t>
        </is>
      </c>
      <c r="D61" s="35" t="inlineStr">
        <is>
          <t>Session</t>
        </is>
      </c>
      <c r="E61" s="36" t="n">
        <v>425</v>
      </c>
      <c r="F61" s="37" t="inlineStr">
        <is>
          <t>Heat illness warning signs and emergency response, acclimatization schedules, water, rest, and shade practices, and supervisor monitoring on high heat index days.</t>
        </is>
      </c>
    </row>
    <row r="62">
      <c r="A62" s="32" t="inlineStr">
        <is>
          <t>Ergonomics Training</t>
        </is>
      </c>
      <c r="B62" s="15" t="inlineStr">
        <is>
          <t>Service</t>
        </is>
      </c>
      <c r="C62" s="15" t="inlineStr">
        <is>
          <t>Training Catalog</t>
        </is>
      </c>
      <c r="D62" s="15" t="inlineStr">
        <is>
          <t>Session</t>
        </is>
      </c>
      <c r="E62" s="33" t="n">
        <v>450</v>
      </c>
      <c r="F62" s="17" t="inlineStr">
        <is>
          <t>Manual material handling, awkward posture and repetition risk factors, early symptom reporting, and practical task redesign for both field and office work.</t>
        </is>
      </c>
    </row>
    <row r="63">
      <c r="A63" s="34" t="inlineStr">
        <is>
          <t>Bloodborne Pathogens Training</t>
        </is>
      </c>
      <c r="B63" s="35" t="inlineStr">
        <is>
          <t>Service</t>
        </is>
      </c>
      <c r="C63" s="35" t="inlineStr">
        <is>
          <t>Training Catalog</t>
        </is>
      </c>
      <c r="D63" s="35" t="inlineStr">
        <is>
          <t>Session</t>
        </is>
      </c>
      <c r="E63" s="36" t="n">
        <v>400</v>
      </c>
      <c r="F63" s="37" t="inlineStr">
        <is>
          <t>Exposure control plan, universal precautions, sharps handling and spill cleanup, and post-exposure evaluation under 29 C.F.R. sec.1910.1030.</t>
        </is>
      </c>
    </row>
    <row r="64">
      <c r="A64" s="32" t="inlineStr">
        <is>
          <t>First Aid / CPR / AED Training</t>
        </is>
      </c>
      <c r="B64" s="15" t="inlineStr">
        <is>
          <t>Service</t>
        </is>
      </c>
      <c r="C64" s="15" t="inlineStr">
        <is>
          <t>Training Catalog</t>
        </is>
      </c>
      <c r="D64" s="15" t="inlineStr">
        <is>
          <t>Person</t>
        </is>
      </c>
      <c r="E64" s="33" t="n">
        <v>145</v>
      </c>
      <c r="F64" s="17" t="inlineStr">
        <is>
          <t>Instructor-led certification course covering adult CPR, AED operation, choking response, bleeding control, and workplace first aid. Certification cards are issued to each attendee.</t>
        </is>
      </c>
    </row>
    <row r="65">
      <c r="A65" s="34" t="inlineStr">
        <is>
          <t>Incident Investigation Training</t>
        </is>
      </c>
      <c r="B65" s="35" t="inlineStr">
        <is>
          <t>Service</t>
        </is>
      </c>
      <c r="C65" s="35" t="inlineStr">
        <is>
          <t>Training Catalog</t>
        </is>
      </c>
      <c r="D65" s="35" t="inlineStr">
        <is>
          <t>Session</t>
        </is>
      </c>
      <c r="E65" s="36" t="n">
        <v>750</v>
      </c>
      <c r="F65" s="37" t="inlineStr">
        <is>
          <t>Scene control, evidence and statement gathering, root cause analysis methods, corrective action development, and writing a defensible investigation report.</t>
        </is>
      </c>
    </row>
    <row r="66">
      <c r="A66" s="32" t="inlineStr">
        <is>
          <t>JHA / JSA Training</t>
        </is>
      </c>
      <c r="B66" s="15" t="inlineStr">
        <is>
          <t>Service</t>
        </is>
      </c>
      <c r="C66" s="15" t="inlineStr">
        <is>
          <t>Training Catalog</t>
        </is>
      </c>
      <c r="D66" s="15" t="inlineStr">
        <is>
          <t>Session</t>
        </is>
      </c>
      <c r="E66" s="33" t="n">
        <v>650</v>
      </c>
      <c r="F66" s="17" t="inlineStr">
        <is>
          <t>Breaking a task into steps, identifying the hazard in each step, selecting controls by the hierarchy, and running the completed JSA as a crew briefing.</t>
        </is>
      </c>
    </row>
    <row r="67">
      <c r="A67" s="34" t="inlineStr">
        <is>
          <t>Defensive Driving Training</t>
        </is>
      </c>
      <c r="B67" s="35" t="inlineStr">
        <is>
          <t>Service</t>
        </is>
      </c>
      <c r="C67" s="35" t="inlineStr">
        <is>
          <t>Training Catalog</t>
        </is>
      </c>
      <c r="D67" s="35" t="inlineStr">
        <is>
          <t>Session</t>
        </is>
      </c>
      <c r="E67" s="36" t="n">
        <v>700</v>
      </c>
      <c r="F67" s="37" t="inlineStr">
        <is>
          <t>Space and speed management, distraction and fatigue, adverse conditions, backing and spotter use, and company vehicle incident reporting.</t>
        </is>
      </c>
    </row>
    <row r="68">
      <c r="A68" s="32" t="inlineStr">
        <is>
          <t>Spotter / Flagger Training</t>
        </is>
      </c>
      <c r="B68" s="15" t="inlineStr">
        <is>
          <t>Service</t>
        </is>
      </c>
      <c r="C68" s="15" t="inlineStr">
        <is>
          <t>Training Catalog</t>
        </is>
      </c>
      <c r="D68" s="15" t="inlineStr">
        <is>
          <t>Person</t>
        </is>
      </c>
      <c r="E68" s="33" t="n">
        <v>80</v>
      </c>
      <c r="F68" s="17" t="inlineStr">
        <is>
          <t>Flagger station setup, signaling devices and procedures, work zone traffic control layouts, and communication protocols for spotting equipment.</t>
        </is>
      </c>
    </row>
    <row r="69">
      <c r="A69" s="34" t="inlineStr">
        <is>
          <t>Contractor Management Training</t>
        </is>
      </c>
      <c r="B69" s="35" t="inlineStr">
        <is>
          <t>Service</t>
        </is>
      </c>
      <c r="C69" s="35" t="inlineStr">
        <is>
          <t>Training Catalog</t>
        </is>
      </c>
      <c r="D69" s="35" t="inlineStr">
        <is>
          <t>Session</t>
        </is>
      </c>
      <c r="E69" s="36" t="n">
        <v>850</v>
      </c>
      <c r="F69" s="37" t="inlineStr">
        <is>
          <t>Prequalification, orientation and badging, insurance and scope verification, field oversight expectations, and contractor performance review.</t>
        </is>
      </c>
    </row>
    <row r="70">
      <c r="A70" s="32" t="inlineStr">
        <is>
          <t>Safety Culture Workshop</t>
        </is>
      </c>
      <c r="B70" s="15" t="inlineStr">
        <is>
          <t>Service</t>
        </is>
      </c>
      <c r="C70" s="15" t="inlineStr">
        <is>
          <t>Training Catalog</t>
        </is>
      </c>
      <c r="D70" s="15" t="inlineStr">
        <is>
          <t>Session</t>
        </is>
      </c>
      <c r="E70" s="33" t="n">
        <v>1250</v>
      </c>
      <c r="F70" s="17" t="inlineStr">
        <is>
          <t>Facilitated leadership workshop on psychological safety, near-miss reporting, recognition, accountability, and converting safety metrics into field behavior.</t>
        </is>
      </c>
    </row>
    <row r="71">
      <c r="A71" s="34" t="inlineStr">
        <is>
          <t>Training Session (general)</t>
        </is>
      </c>
      <c r="B71" s="35" t="inlineStr">
        <is>
          <t>Service</t>
        </is>
      </c>
      <c r="C71" s="35" t="inlineStr">
        <is>
          <t>Training Catalog</t>
        </is>
      </c>
      <c r="D71" s="35" t="inlineStr">
        <is>
          <t>Session</t>
        </is>
      </c>
      <c r="E71" s="36" t="n">
        <v>750</v>
      </c>
      <c r="F71" s="37" t="inlineStr">
        <is>
          <t>Instructor-led session on a topic you specify. Scope, duration, and participant materials are confirmed before scheduling.</t>
        </is>
      </c>
    </row>
    <row r="72">
      <c r="A72" s="32" t="inlineStr">
        <is>
          <t>Compliance Audit</t>
        </is>
      </c>
      <c r="B72" s="15" t="inlineStr">
        <is>
          <t>Service</t>
        </is>
      </c>
      <c r="C72" s="15" t="inlineStr">
        <is>
          <t>Audits &amp; Field Support</t>
        </is>
      </c>
      <c r="D72" s="15" t="inlineStr">
        <is>
          <t>Audit</t>
        </is>
      </c>
      <c r="E72" s="33" t="n">
        <v>1750</v>
      </c>
      <c r="F72" s="17" t="inlineStr">
        <is>
          <t>Structured audit against OSHA and company program requirements, delivered as a scored findings report with prioritized corrective actions and due dates.</t>
        </is>
      </c>
    </row>
    <row r="73">
      <c r="A73" s="34" t="inlineStr">
        <is>
          <t>In-Person Audit Day</t>
        </is>
      </c>
      <c r="B73" s="35" t="inlineStr">
        <is>
          <t>Service</t>
        </is>
      </c>
      <c r="C73" s="35" t="inlineStr">
        <is>
          <t>Audits &amp; Field Support</t>
        </is>
      </c>
      <c r="D73" s="35" t="inlineStr">
        <is>
          <t>Day</t>
        </is>
      </c>
      <c r="E73" s="36" t="n">
        <v>1750</v>
      </c>
      <c r="F73" s="37" t="inlineStr">
        <is>
          <t>A billable day of on-site audit or inspection time. Use this when audit scope is measured in days rather than sold as a fixed audit package.</t>
        </is>
      </c>
    </row>
    <row r="74">
      <c r="A74" s="32" t="inlineStr">
        <is>
          <t>Field Support Day</t>
        </is>
      </c>
      <c r="B74" s="15" t="inlineStr">
        <is>
          <t>Service</t>
        </is>
      </c>
      <c r="C74" s="15" t="inlineStr">
        <is>
          <t>Audits &amp; Field Support</t>
        </is>
      </c>
      <c r="D74" s="15" t="inlineStr">
        <is>
          <t>Day</t>
        </is>
      </c>
      <c r="E74" s="33" t="n">
        <v>1250</v>
      </c>
      <c r="F74" s="17" t="inlineStr">
        <is>
          <t>A day of on-site safety support: pre-task briefings, field observations, corrective coaching, and a written end-of-day summary for management.</t>
        </is>
      </c>
    </row>
    <row r="75">
      <c r="A75" s="34" t="inlineStr">
        <is>
          <t>Travel Mileage</t>
        </is>
      </c>
      <c r="B75" s="35" t="inlineStr">
        <is>
          <t>Service</t>
        </is>
      </c>
      <c r="C75" s="35" t="inlineStr">
        <is>
          <t>Travel &amp; Expenses</t>
        </is>
      </c>
      <c r="D75" s="35" t="inlineStr">
        <is>
          <t>Mile</t>
        </is>
      </c>
      <c r="E75" s="36" t="n">
        <v>0.7</v>
      </c>
      <c r="F75" s="37" t="inlineStr">
        <is>
          <t>Mileage billed per mile (Qty = miles).</t>
        </is>
      </c>
    </row>
    <row r="76">
      <c r="A76" s="32" t="inlineStr">
        <is>
          <t>Hotel Night</t>
        </is>
      </c>
      <c r="B76" s="15" t="inlineStr">
        <is>
          <t>Service</t>
        </is>
      </c>
      <c r="C76" s="15" t="inlineStr">
        <is>
          <t>Travel &amp; Expenses</t>
        </is>
      </c>
      <c r="D76" s="15" t="inlineStr">
        <is>
          <t>Night</t>
        </is>
      </c>
      <c r="E76" s="33" t="n">
        <v>185</v>
      </c>
      <c r="F76" s="17" t="inlineStr">
        <is>
          <t>Overnight lodging (Qty = nights).</t>
        </is>
      </c>
    </row>
    <row r="77">
      <c r="A77" s="34" t="inlineStr">
        <is>
          <t>Per Diem</t>
        </is>
      </c>
      <c r="B77" s="35" t="inlineStr">
        <is>
          <t>Service</t>
        </is>
      </c>
      <c r="C77" s="35" t="inlineStr">
        <is>
          <t>Travel &amp; Expenses</t>
        </is>
      </c>
      <c r="D77" s="35" t="inlineStr">
        <is>
          <t>Day</t>
        </is>
      </c>
      <c r="E77" s="36" t="n">
        <v>75</v>
      </c>
      <c r="F77" s="37" t="inlineStr">
        <is>
          <t>Meals / incidentals (Qty = days).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8" customWidth="1" min="2" max="2"/>
  </cols>
  <sheetData>
    <row r="1">
      <c r="A1" s="1" t="inlineStr">
        <is>
          <t>How to use this workbook</t>
        </is>
      </c>
    </row>
    <row r="2">
      <c r="A2" s="2" t="inlineStr">
        <is>
          <t>Read once, then work in Fee Schedule and Deliverables.</t>
        </is>
      </c>
    </row>
    <row r="3" ht="3" customHeight="1">
      <c r="A3" s="3" t="n"/>
      <c r="B3" s="3" t="n"/>
    </row>
    <row r="5">
      <c r="A5" s="38" t="inlineStr">
        <is>
          <t>WHAT THIS IS</t>
        </is>
      </c>
    </row>
    <row r="6">
      <c r="B6" s="39" t="inlineStr">
        <is>
          <t>The working copy of a proposal — the version you send to a client or a colleague to mark up. The signed version is the PDF or Word file generated from the platform; this workbook is what you argue over first.</t>
        </is>
      </c>
    </row>
    <row r="8">
      <c r="A8" s="38" t="inlineStr">
        <is>
          <t>THE FOUR SHEETS</t>
        </is>
      </c>
    </row>
    <row r="9">
      <c r="A9" s="10" t="inlineStr">
        <is>
          <t>Proposal Summary</t>
        </is>
      </c>
      <c r="B9" s="39" t="inlineStr">
        <is>
          <t>Who it is for, the commercial levers (discount, tax, deposit) and the totals. Totals are formulas.</t>
        </is>
      </c>
    </row>
    <row r="10">
      <c r="A10" s="10" t="inlineStr">
        <is>
          <t>Fee Schedule</t>
        </is>
      </c>
      <c r="B10" s="39" t="inlineStr">
        <is>
          <t>The money. One row per quoted line. This is the sheet that drives every total.</t>
        </is>
      </c>
    </row>
    <row r="11">
      <c r="A11" s="10" t="inlineStr">
        <is>
          <t>Deliverables</t>
        </is>
      </c>
      <c r="B11" s="39" t="inlineStr">
        <is>
          <t>What we owe for that money, and what the client measures it against at acceptance.</t>
        </is>
      </c>
    </row>
    <row r="12">
      <c r="A12" s="10" t="inlineStr">
        <is>
          <t>Price Book</t>
        </is>
      </c>
      <c r="B12" s="39" t="inlineStr">
        <is>
          <t>Reference. The full catalog with list prices. Do not edit — it is generated from the platform.</t>
        </is>
      </c>
    </row>
    <row r="14">
      <c r="A14" s="38" t="inlineStr">
        <is>
          <t>COLOUR CODE</t>
        </is>
      </c>
    </row>
    <row r="15">
      <c r="A15" s="10" t="inlineStr">
        <is>
          <t>Blue text</t>
        </is>
      </c>
      <c r="B15" s="39" t="inlineStr">
        <is>
          <t>Type here. Quantities, agreed prices, dates, names, comments.</t>
        </is>
      </c>
    </row>
    <row r="16">
      <c r="A16" s="10" t="inlineStr">
        <is>
          <t>Black text</t>
        </is>
      </c>
      <c r="B16" s="39" t="inlineStr">
        <is>
          <t>Calculated. Overwriting one breaks the arithmetic for everything below it.</t>
        </is>
      </c>
    </row>
    <row r="17">
      <c r="A17" s="10" t="inlineStr">
        <is>
          <t>Yellow fill</t>
        </is>
      </c>
      <c r="B17" s="39" t="inlineStr">
        <is>
          <t>Must be filled in before this file goes to a client.</t>
        </is>
      </c>
    </row>
    <row r="19">
      <c r="A19" s="38" t="inlineStr">
        <is>
          <t>EDITING THE FEE SCHEDULE</t>
        </is>
      </c>
    </row>
    <row r="20">
      <c r="A20" s="10" t="inlineStr">
        <is>
          <t>Add a line</t>
        </is>
      </c>
      <c r="B20" s="39" t="inlineStr">
        <is>
          <t>Pick a Line Item from the dropdown. Unit, list price and scope text fill in automatically.</t>
        </is>
      </c>
    </row>
    <row r="21">
      <c r="A21" s="10" t="inlineStr">
        <is>
          <t>Discount a line</t>
        </is>
      </c>
      <c r="B21" s="39" t="inlineStr">
        <is>
          <t>Type your figure in Agreed Price. Blank means charge list price.</t>
        </is>
      </c>
    </row>
    <row r="22">
      <c r="A22" s="10" t="inlineStr">
        <is>
          <t>Drop a line</t>
        </is>
      </c>
      <c r="B22" s="39" t="inlineStr">
        <is>
          <t>Set Include? to N. The row stays visible for the client to see, priced at zero.</t>
        </is>
      </c>
    </row>
    <row r="23">
      <c r="A23" s="10" t="inlineStr">
        <is>
          <t>Quote something custom</t>
        </is>
      </c>
      <c r="B23" s="39" t="inlineStr">
        <is>
          <t>Type your own name in Line Item and set Agreed Price yourself. The lookup will not find it, which is fine.</t>
        </is>
      </c>
    </row>
    <row r="24">
      <c r="A24" s="10" t="inlineStr">
        <is>
          <t>Add more rows</t>
        </is>
      </c>
      <c r="B24" s="39" t="inlineStr">
        <is>
          <t>Insert rows inside the table, not below it, then copy the formulas down from the row above.</t>
        </is>
      </c>
    </row>
    <row r="26">
      <c r="A26" s="38" t="inlineStr">
        <is>
          <t>HOW THE TOTAL IS WORKED OUT</t>
        </is>
      </c>
    </row>
    <row r="27">
      <c r="B27" s="39" t="inlineStr">
        <is>
          <t>subtotal = sum of the line totals</t>
        </is>
      </c>
    </row>
    <row r="28">
      <c r="B28" s="39" t="inlineStr">
        <is>
          <t>discount = subtotal x discount %</t>
        </is>
      </c>
    </row>
    <row r="29">
      <c r="B29" s="39" t="inlineStr">
        <is>
          <t>taxable  = subtotal - discount</t>
        </is>
      </c>
    </row>
    <row r="30">
      <c r="B30" s="39" t="inlineStr">
        <is>
          <t>tax      = taxable x tax %   (tax is charged after the discount, not before)</t>
        </is>
      </c>
    </row>
    <row r="31">
      <c r="B31" s="39" t="inlineStr">
        <is>
          <t>total    = taxable + tax</t>
        </is>
      </c>
    </row>
    <row r="32">
      <c r="B32" s="39" t="inlineStr">
        <is>
          <t>deposit  = total x deposit %   (of the total, not of the subtotal)</t>
        </is>
      </c>
    </row>
    <row r="34">
      <c r="A34" s="38" t="inlineStr">
        <is>
          <t>ASSUMPTIONS BAKED IN</t>
        </is>
      </c>
    </row>
    <row r="35">
      <c r="A35" s="10" t="inlineStr">
        <is>
          <t>Prices</t>
        </is>
      </c>
      <c r="B35" s="39" t="inlineStr">
        <is>
          <t>List prices are the current platform catalog (lib/proposals/catalog.ts). They are defaults, not floors — override any of them in Agreed Price.</t>
        </is>
      </c>
    </row>
    <row r="36">
      <c r="A36" s="10" t="inlineStr">
        <is>
          <t>Example content</t>
        </is>
      </c>
      <c r="B36" s="39" t="inlineStr">
        <is>
          <t>The workbook ships with a worked mid-size platform rollout in rows 6-21 of Fee Schedule and the matching deliverables. It is an example. Replace it.</t>
        </is>
      </c>
    </row>
    <row r="37">
      <c r="A37" s="10" t="inlineStr">
        <is>
          <t>Currency</t>
        </is>
      </c>
      <c r="B37" s="39" t="inlineStr">
        <is>
          <t>USD throughout. Line totals are rounded to the cent per line, then added — same as the generated proposal.</t>
        </is>
      </c>
    </row>
    <row r="38">
      <c r="A38" s="10" t="inlineStr">
        <is>
          <t>Travel</t>
        </is>
      </c>
      <c r="B38" s="39" t="inlineStr">
        <is>
          <t>Mileage, hotel and per diem lines are estimates until the schedule is fixed.</t>
        </is>
      </c>
    </row>
    <row r="40">
      <c r="A40" s="38" t="inlineStr">
        <is>
          <t>SENDING IT BACK</t>
        </is>
      </c>
    </row>
    <row r="41">
      <c r="B41" s="39" t="inlineStr">
        <is>
          <t>Mark deliverable rows Agreed / Changed / Removed, leave comments in the last column, and return the file. The agreed version is what gets loaded back into the platform and printed for signature.</t>
        </is>
      </c>
    </row>
    <row r="43">
      <c r="A43" s="40" t="inlineStr">
        <is>
          <t>Reliance Predictive Safety Technologies · Proposal Form Rev. 15 · workbook generated from the platform price 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2026-08-14T21:05:15Z</dcterms:created>
  <dcterms:modified xsi:type="dcterms:W3CDTF">2026-08-14T21:05:15Z</dcterms:modified>
</cp:coreProperties>
</file>