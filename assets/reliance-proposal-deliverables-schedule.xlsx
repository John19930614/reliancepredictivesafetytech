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posal Summary" sheetId="1" state="visible" r:id="rId3"/>
    <sheet name="Fee Schedule" sheetId="2" state="visible" r:id="rId4"/>
    <sheet name="Deliverables" sheetId="3" state="visible" r:id="rId5"/>
    <sheet name="Price Book" sheetId="4" state="visible" r:id="rId6"/>
    <sheet name="How to Use" sheetId="5" state="visible" r:id="rId7"/>
  </sheets>
  <definedNames>
    <definedName function="false" hidden="false" name="CatalogDesc" vbProcedure="false">'Price Book'!$F$6:$F$77</definedName>
    <definedName function="false" hidden="false" name="CatalogGroup" vbProcedure="false">'Price Book'!$C$6:$C$77</definedName>
    <definedName function="false" hidden="false" name="CatalogNames" vbProcedure="false">'Price Book'!$A$6:$A$77</definedName>
    <definedName function="false" hidden="false" name="CatalogPrice" vbProcedure="false">'Price Book'!$E$6:$E$77</definedName>
    <definedName function="false" hidden="false" name="CatalogType" vbProcedure="false">'Price Book'!$B$6:$B$77</definedName>
    <definedName function="false" hidden="false" name="CatalogUnit" vbProcedure="false">'Price Book'!$D$6:$D$77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3" authorId="0">
      <text>
        <r>
          <rPr>
            <sz val="10"/>
            <rFont val="Arial"/>
            <family val="2"/>
          </rPr>
          <t xml:space="preserve">Applied to the subtotal. Tax is charged on the discounted figure, matching the platform's proposal math.</t>
        </r>
      </text>
    </comment>
    <comment ref="B25" authorId="0">
      <text>
        <r>
          <rPr>
            <sz val="10"/>
            <rFont val="Arial"/>
            <family val="2"/>
          </rPr>
          <t xml:space="preserve">A percentage of the TOTAL, not of the subtotal.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52" authorId="0">
      <text>
        <r>
          <rPr>
            <sz val="10"/>
            <rFont val="Arial"/>
            <family val="2"/>
          </rPr>
          <t xml:space="preserve">Sum of the ROUNDED line amounts, matching computeProposalTotals() in lib/proposals/pricing.ts — the client adds up the printed rows, so the subtotal has to agree with them to the cent.</t>
        </r>
      </text>
    </comment>
  </commentList>
</comments>
</file>

<file path=xl/sharedStrings.xml><?xml version="1.0" encoding="utf-8"?>
<sst xmlns="http://schemas.openxmlformats.org/spreadsheetml/2006/main" count="581" uniqueCount="323">
  <si>
    <t xml:space="preserve">Proposal — Deliverables &amp; Fee Schedule</t>
  </si>
  <si>
    <t xml:space="preserve">Reliance Predictive Safety Technologies · working copy for review and markup</t>
  </si>
  <si>
    <t xml:space="preserve">PROPOSAL DETAILS</t>
  </si>
  <si>
    <t xml:space="preserve">Proposal number</t>
  </si>
  <si>
    <t xml:space="preserve">Proposal date</t>
  </si>
  <si>
    <t xml:space="preserve">Prepared by</t>
  </si>
  <si>
    <t xml:space="preserve">Valid until</t>
  </si>
  <si>
    <t xml:space="preserve">Client company</t>
  </si>
  <si>
    <t xml:space="preserve">Client address</t>
  </si>
  <si>
    <t xml:space="preserve">Client contact</t>
  </si>
  <si>
    <t xml:space="preserve">Contact email</t>
  </si>
  <si>
    <t xml:space="preserve">Engagement term start</t>
  </si>
  <si>
    <t xml:space="preserve">Engagement term end</t>
  </si>
  <si>
    <t xml:space="preserve">Term (months)</t>
  </si>
  <si>
    <t xml:space="preserve">Included users</t>
  </si>
  <si>
    <t xml:space="preserve">Included jobsites</t>
  </si>
  <si>
    <t xml:space="preserve">COMMERCIAL TERMS</t>
  </si>
  <si>
    <t xml:space="preserve">Discount %</t>
  </si>
  <si>
    <t xml:space="preserve">Tax %</t>
  </si>
  <si>
    <t xml:space="preserve">Deposit % due at acceptance</t>
  </si>
  <si>
    <t xml:space="preserve">TOTALS</t>
  </si>
  <si>
    <t xml:space="preserve">Subtotal</t>
  </si>
  <si>
    <t xml:space="preserve">Discount</t>
  </si>
  <si>
    <t xml:space="preserve">Taxable amount</t>
  </si>
  <si>
    <t xml:space="preserve">Tax</t>
  </si>
  <si>
    <t xml:space="preserve">Total</t>
  </si>
  <si>
    <t xml:space="preserve">Deposit due at acceptance</t>
  </si>
  <si>
    <t xml:space="preserve">Balance on completion</t>
  </si>
  <si>
    <t xml:space="preserve">HOW TO READ THIS FILE</t>
  </si>
  <si>
    <t xml:space="preserve">·  Blue text = type here. Black text = calculated, leave it alone.</t>
  </si>
  <si>
    <t xml:space="preserve">·  Yellow cells must be filled in before this goes to a client.</t>
  </si>
  <si>
    <t xml:space="preserve">·  Fee Schedule is where the money is set. Deliverables is what we owe for it.</t>
  </si>
  <si>
    <t xml:space="preserve">·  Every figure on this sheet comes from the Fee Schedule — change a quantity there and the total follows.</t>
  </si>
  <si>
    <t xml:space="preserve">Schedule of Fees</t>
  </si>
  <si>
    <t xml:space="preserve">EDIT THIS SHEET. Blue cells are yours to change. Pick a line item from the dropdown and the unit, list price and scope fill themselves in.</t>
  </si>
  <si>
    <t xml:space="preserve">Include?
(Y / N)</t>
  </si>
  <si>
    <t xml:space="preserve">Group</t>
  </si>
  <si>
    <t xml:space="preserve">Line Item
(pick from list)</t>
  </si>
  <si>
    <t xml:space="preserve">Scope / Description
(type over to tailor)</t>
  </si>
  <si>
    <t xml:space="preserve">Unit</t>
  </si>
  <si>
    <t xml:space="preserve">Qty</t>
  </si>
  <si>
    <t xml:space="preserve">List Price</t>
  </si>
  <si>
    <t xml:space="preserve">Agreed Price
(blank = list)</t>
  </si>
  <si>
    <t xml:space="preserve">Line Total</t>
  </si>
  <si>
    <t xml:space="preserve">Y</t>
  </si>
  <si>
    <t xml:space="preserve">Professional Safety Intelligence</t>
  </si>
  <si>
    <t xml:space="preserve">Discovery &amp; Intake</t>
  </si>
  <si>
    <t xml:space="preserve">Build &amp; Configure</t>
  </si>
  <si>
    <t xml:space="preserve">Validation &amp; Review</t>
  </si>
  <si>
    <t xml:space="preserve">Launch &amp; Training</t>
  </si>
  <si>
    <t xml:space="preserve">Predictive Risk Intelligence</t>
  </si>
  <si>
    <t xml:space="preserve">Training Matrix &amp; Certification Tracking</t>
  </si>
  <si>
    <t xml:space="preserve">Mobile Field App Enablement</t>
  </si>
  <si>
    <t xml:space="preserve">N</t>
  </si>
  <si>
    <t xml:space="preserve">AI Gateway Validation Layer</t>
  </si>
  <si>
    <t xml:space="preserve">Safety Document — Medium (≤60 pg)</t>
  </si>
  <si>
    <t xml:space="preserve">OSHA 30 Training</t>
  </si>
  <si>
    <t xml:space="preserve">Compliance Audit</t>
  </si>
  <si>
    <t xml:space="preserve">Field Support Day</t>
  </si>
  <si>
    <t xml:space="preserve">Travel Mileage</t>
  </si>
  <si>
    <t xml:space="preserve">Hotel Night</t>
  </si>
  <si>
    <t xml:space="preserve">Per Diem</t>
  </si>
  <si>
    <t xml:space="preserve">Rows 6–21 are a worked example of a mid-size platform rollout. Replace them with your scope — clear the Line Item cell to blank a row, or set Include? to N to keep it visible at $0 for the client to consider.</t>
  </si>
  <si>
    <t xml:space="preserve">Deliverables</t>
  </si>
  <si>
    <t xml:space="preserve">EDIT THIS SHEET. One row per thing we owe. Acceptance criteria are what the client measures it against — argue them here, not after invoicing.</t>
  </si>
  <si>
    <t xml:space="preserve">#</t>
  </si>
  <si>
    <t xml:space="preserve">Fee Schedule line</t>
  </si>
  <si>
    <t xml:space="preserve">Deliverable</t>
  </si>
  <si>
    <t xml:space="preserve">What it includes</t>
  </si>
  <si>
    <t xml:space="preserve">Acceptance criteria</t>
  </si>
  <si>
    <t xml:space="preserve">Owner</t>
  </si>
  <si>
    <t xml:space="preserve">Target date</t>
  </si>
  <si>
    <t xml:space="preserve">Status</t>
  </si>
  <si>
    <t xml:space="preserve">Client comments</t>
  </si>
  <si>
    <t xml:space="preserve">Discovery findings and configuration plan</t>
  </si>
  <si>
    <t xml:space="preserve">Objectives workshop, current document inventory, user and role map, jobsite list, and the agreed configuration priorities.</t>
  </si>
  <si>
    <t xml:space="preserve">Client confirms in writing that the user map, jobsite list and configuration priorities are correct.</t>
  </si>
  <si>
    <t xml:space="preserve">Joint</t>
  </si>
  <si>
    <t xml:space="preserve">Proposed</t>
  </si>
  <si>
    <t xml:space="preserve">Configured platform tenant</t>
  </si>
  <si>
    <t xml:space="preserve">Modules, templates, dashboards, workflows, permission groups and billing package selections configured in the client tenant.</t>
  </si>
  <si>
    <t xml:space="preserve">Every module in the schedule is reachable by its intended role in the client tenant.</t>
  </si>
  <si>
    <t xml:space="preserve">Reliance</t>
  </si>
  <si>
    <t xml:space="preserve">Validation report and corrected configuration</t>
  </si>
  <si>
    <t xml:space="preserve">Sample outputs reviewed, required fields confirmed, reporting logic verified, workflows tested, gaps corrected before launch.</t>
  </si>
  <si>
    <t xml:space="preserve">All defects found in validation are closed or accepted in writing by the client.</t>
  </si>
  <si>
    <t xml:space="preserve">Go-live and trained user base</t>
  </si>
  <si>
    <t xml:space="preserve">Rollout support, user training sessions, manager review, reporting cadence, and go-live stabilization.</t>
  </si>
  <si>
    <t xml:space="preserve">Named users complete training and the platform is in production use at the agreed sites.</t>
  </si>
  <si>
    <t xml:space="preserve">Leading indicator model and executive dashboard</t>
  </si>
  <si>
    <t xml:space="preserve">Precursor cells, trend logic, risk scoring, dashboard review and the executive summary output.</t>
  </si>
  <si>
    <t xml:space="preserve">Risk scores render for each configured site and the executive summary reconciles to source records.</t>
  </si>
  <si>
    <t xml:space="preserve">Role-based training matrix</t>
  </si>
  <si>
    <t xml:space="preserve">Training matrix by role, expiration tracking, missing-training summaries and compliance reporting.</t>
  </si>
  <si>
    <t xml:space="preserve">Every role in the client's org chart maps to a training requirement set with expiry dates.</t>
  </si>
  <si>
    <t xml:space="preserve">Field app in production</t>
  </si>
  <si>
    <t xml:space="preserve">Field issue capture, JSA support, inspection entry, photo observations and mobile user rollout support.</t>
  </si>
  <si>
    <t xml:space="preserve">Field users can submit an inspection and a photo observation from a jobsite device.</t>
  </si>
  <si>
    <t xml:space="preserve">Four written safety programs</t>
  </si>
  <si>
    <t xml:space="preserve">Four safety programs drafted to the client's operations, each up to 60 pages, with a revision record.</t>
  </si>
  <si>
    <t xml:space="preserve">Each program is delivered in the agreed format and cites the regulations applicable to the client's scopes of work.</t>
  </si>
  <si>
    <t xml:space="preserve">Six supervisors OSHA 30 certified</t>
  </si>
  <si>
    <t xml:space="preserve">OSHA 30-hour outreach course for supervisors and safety leads. Department of Labor cards issued to each attendee.</t>
  </si>
  <si>
    <t xml:space="preserve">Six named attendees complete the course and receive DOL cards.</t>
  </si>
  <si>
    <t xml:space="preserve">Two compliance audits with corrective action plans</t>
  </si>
  <si>
    <t xml:space="preserve">Structured audit against OSHA and company program requirements, delivered as a scored findings report.</t>
  </si>
  <si>
    <t xml:space="preserve">Each audit is delivered with prioritized corrective actions and due dates assigned to named owners.</t>
  </si>
  <si>
    <t xml:space="preserve">Four field support days</t>
  </si>
  <si>
    <t xml:space="preserve">Pre-task briefings, field observations, corrective coaching and a written end-of-day summary for management.</t>
  </si>
  <si>
    <t xml:space="preserve">A written end-of-day summary is delivered to management for each day worked.</t>
  </si>
  <si>
    <t xml:space="preserve">Client obligations</t>
  </si>
  <si>
    <t xml:space="preserve">Client-side inputs</t>
  </si>
  <si>
    <t xml:space="preserve">Current safety documents, org chart and user list, site list, and a named point of contact for approvals.</t>
  </si>
  <si>
    <t xml:space="preserve">Inputs are provided within 10 business days of kickoff; delays move the schedule day for day.</t>
  </si>
  <si>
    <t xml:space="preserve">Client</t>
  </si>
  <si>
    <t xml:space="preserve">Deliverables listed</t>
  </si>
  <si>
    <t xml:space="preserve">Still marked Proposed</t>
  </si>
  <si>
    <t xml:space="preserve">Price Book</t>
  </si>
  <si>
    <t xml:space="preserve">Reference only — do not edit. Generated from lib/proposals/catalog.ts; the Fee Schedule looks every line up here by name.</t>
  </si>
  <si>
    <t xml:space="preserve">Line Item</t>
  </si>
  <si>
    <t xml:space="preserve">Type</t>
  </si>
  <si>
    <t xml:space="preserve">List Price (USD)</t>
  </si>
  <si>
    <t xml:space="preserve">Standard Scope Description</t>
  </si>
  <si>
    <t xml:space="preserve">Starter Compliance Platform</t>
  </si>
  <si>
    <t xml:space="preserve">Package</t>
  </si>
  <si>
    <t xml:space="preserve">Platform &amp; Licensing</t>
  </si>
  <si>
    <t xml:space="preserve">Term</t>
  </si>
  <si>
    <t xml:space="preserve">Core compliance support for a smaller operation or early-stage platform rollout. Includes 15 users across 1 jobsites.</t>
  </si>
  <si>
    <t xml:space="preserve">Expanded safety management platform for active jobsite operations, document control, audits, and leadership reporting. Includes 50 users across 5 jobsites.</t>
  </si>
  <si>
    <t xml:space="preserve">Enterprise Predictive Safety</t>
  </si>
  <si>
    <t xml:space="preserve">Full multi-site safety intelligence package with stronger predictive risk capability, AI-supported review, and executive visibility. Includes 100 users across 10 jobsites.</t>
  </si>
  <si>
    <t xml:space="preserve">Black Label Strategic Program</t>
  </si>
  <si>
    <t xml:space="preserve">Strategic enterprise program for organizations requiring advanced safety intelligence, multi-site governance, and premium implementation support. Includes 250 users across 25 jobsites.</t>
  </si>
  <si>
    <t xml:space="preserve">Pilot Program — Platform Access</t>
  </si>
  <si>
    <t xml:space="preserve">A fixed-price pilot providing platform access for the included users and jobsites shown below, with no additional setup or licensing cost during the pilot term. Includes 50 users across 2 jobsites.</t>
  </si>
  <si>
    <t xml:space="preserve">Phase</t>
  </si>
  <si>
    <t xml:space="preserve">Implementation Phases</t>
  </si>
  <si>
    <t xml:space="preserve">Confirm client objectives, gather current documents, map users, identify jobsite needs, and finalize configuration priorities.</t>
  </si>
  <si>
    <t xml:space="preserve">Configure modules, templates, dashboards, workflows, permission groups, and billing package selections.</t>
  </si>
  <si>
    <t xml:space="preserve">Review sample outputs, confirm required fields, verify reporting logic, test workflows, and correct gaps before launch.</t>
  </si>
  <si>
    <t xml:space="preserve">Support rollout, user training, manager review, reporting cadence, and go-live stabilization.</t>
  </si>
  <si>
    <t xml:space="preserve">Ongoing Support</t>
  </si>
  <si>
    <t xml:space="preserve">Monthly account support, billing review, platform adjustments, and management reporting support.</t>
  </si>
  <si>
    <t xml:space="preserve">Annual Platform License</t>
  </si>
  <si>
    <t xml:space="preserve">Service</t>
  </si>
  <si>
    <t xml:space="preserve">Year</t>
  </si>
  <si>
    <t xml:space="preserve">Annual platform license / subscription for the SafetyDocs360 safety platform.</t>
  </si>
  <si>
    <t xml:space="preserve">Per-User Annual License</t>
  </si>
  <si>
    <t xml:space="preserve">User</t>
  </si>
  <si>
    <t xml:space="preserve">Per-user annual seat license added to the active subscription (Qty = users).</t>
  </si>
  <si>
    <t xml:space="preserve">Admin Setup / Onboarding</t>
  </si>
  <si>
    <t xml:space="preserve">Project</t>
  </si>
  <si>
    <t xml:space="preserve">One-time platform setup, onboarding, and account configuration.</t>
  </si>
  <si>
    <t xml:space="preserve">Implementation &amp; Platform Configuration</t>
  </si>
  <si>
    <t xml:space="preserve">Implementation &amp; Consulting</t>
  </si>
  <si>
    <t xml:space="preserve">Account setup, roles, permissions, branding, workflow configuration, and launch support.</t>
  </si>
  <si>
    <t xml:space="preserve">Document Control / Program Builder</t>
  </si>
  <si>
    <t xml:space="preserve">Safety program document library, review workflow, revision history, template controls, and proposal-ready documentation outputs.</t>
  </si>
  <si>
    <t xml:space="preserve">Audit / Inspection Module</t>
  </si>
  <si>
    <t xml:space="preserve">Configurable inspections, corrective actions, observation tracking, audit readiness reporting, and management review dashboards.</t>
  </si>
  <si>
    <t xml:space="preserve">Leading indicator tracking, precursor cells, trend logic, risk scoring, dashboard review, and executive summary outputs.</t>
  </si>
  <si>
    <t xml:space="preserve">Role-based training matrix, expiration tracking, missing training summaries, and compliance reporting.</t>
  </si>
  <si>
    <t xml:space="preserve">Weather / Lightning Alerts</t>
  </si>
  <si>
    <t xml:space="preserve">Jobsite weather zones, lightning thresholds, high wind triggers, heat/cold rules, and alert-ready workflow language.</t>
  </si>
  <si>
    <t xml:space="preserve">Field issue capture, JSA support, inspection entry, photo observations, and mobile user rollout support.</t>
  </si>
  <si>
    <t xml:space="preserve">AI-supported validation gates for intake quality, missing data checks, risk classification, and document consistency review.</t>
  </si>
  <si>
    <t xml:space="preserve">Custom Workflow Build</t>
  </si>
  <si>
    <t xml:space="preserve">Hour</t>
  </si>
  <si>
    <t xml:space="preserve">Developer / configuration time for custom workflows and integrations (Qty = hours).</t>
  </si>
  <si>
    <t xml:space="preserve">Document Review / Consulting</t>
  </si>
  <si>
    <t xml:space="preserve">Document review or consulting time, billed hourly (Qty = hours).</t>
  </si>
  <si>
    <t xml:space="preserve">Additional User Block (25)</t>
  </si>
  <si>
    <t xml:space="preserve">Block</t>
  </si>
  <si>
    <t xml:space="preserve">Adds 25 additional user seats to the active subscription term.</t>
  </si>
  <si>
    <t xml:space="preserve">Additional Jobsite Block</t>
  </si>
  <si>
    <t xml:space="preserve">Site</t>
  </si>
  <si>
    <t xml:space="preserve">Adds one additional jobsite / worksite profile to the active subscription term.</t>
  </si>
  <si>
    <t xml:space="preserve">Safety Document — Short (≤35 pg)</t>
  </si>
  <si>
    <t xml:space="preserve">Safety Documents &amp; Programs</t>
  </si>
  <si>
    <t xml:space="preserve">Document</t>
  </si>
  <si>
    <t xml:space="preserve">Safety document or program, short length (up to 35 pages).</t>
  </si>
  <si>
    <t xml:space="preserve">Safety document or program, medium length (up to 60 pages).</t>
  </si>
  <si>
    <t xml:space="preserve">Safety Document — Long (≤90 pg)</t>
  </si>
  <si>
    <t xml:space="preserve">Safety document or program, long length (up to 90 pages).</t>
  </si>
  <si>
    <t xml:space="preserve">Standard Review Package</t>
  </si>
  <si>
    <t xml:space="preserve">Review of one existing safety document for regulatory accuracy and completeness, returned with tracked comments and a summary of required edits.</t>
  </si>
  <si>
    <t xml:space="preserve">Premium Review Package</t>
  </si>
  <si>
    <t xml:space="preserve">Deep review of one existing safety document: regulatory citation check, gap analysis against your actual operations, and rewritten drafts of the deficient sections.</t>
  </si>
  <si>
    <t xml:space="preserve">Annual Update Service</t>
  </si>
  <si>
    <t xml:space="preserve">Yearly refresh of a delivered document covering regulation changes, updated citations, revised organizational and contact details, and a new revision record.</t>
  </si>
  <si>
    <t xml:space="preserve">OSHA 10 Training</t>
  </si>
  <si>
    <t xml:space="preserve">Training Catalog</t>
  </si>
  <si>
    <t xml:space="preserve">Person</t>
  </si>
  <si>
    <t xml:space="preserve">OSHA 10-hour outreach course covering hazard recognition, worker rights, and the Focus Four hazards. Department of Labor cards are issued to each attendee.</t>
  </si>
  <si>
    <t xml:space="preserve">OSHA 30-hour outreach course for supervisors and safety leads, covering hazard control, program administration, and OSHA recordkeeping. Department of Labor cards are issued to each attendee.</t>
  </si>
  <si>
    <t xml:space="preserve">New Hire Safety Orientation</t>
  </si>
  <si>
    <t xml:space="preserve">Session</t>
  </si>
  <si>
    <t xml:space="preserve">Site-specific orientation covering company safety rules, required PPE, hazard and injury reporting, emergency procedures, and signed acknowledgment for each new hire.</t>
  </si>
  <si>
    <t xml:space="preserve">Supervisor Safety Leadership Training</t>
  </si>
  <si>
    <t xml:space="preserve">Supervisor-level session on setting field expectations, coaching in the moment, documenting corrections, and running an effective pre-task safety briefing.</t>
  </si>
  <si>
    <t xml:space="preserve">Toolbox Talk Program Development</t>
  </si>
  <si>
    <t xml:space="preserve">Builds a rotating toolbox talk library matched to your scopes of work, with a delivery schedule, attendance forms, and a supervisor facilitation guide.</t>
  </si>
  <si>
    <t xml:space="preserve">Fall Protection Training</t>
  </si>
  <si>
    <t xml:space="preserve">Fall hazard recognition, harness inspection and fit, anchorage and connector selection, and rescue planning under 29 C.F.R. Part 1926 Subpart M.</t>
  </si>
  <si>
    <t xml:space="preserve">Ladder Safety Training</t>
  </si>
  <si>
    <t xml:space="preserve">Ladder selection and duty ratings, pre-use inspection, setup angle and securing, three-point contact, and the misuse patterns behind most ladder injuries.</t>
  </si>
  <si>
    <t xml:space="preserve">Scaffold User Training</t>
  </si>
  <si>
    <t xml:space="preserve">Scaffold user awareness covering safe access, guardrail and planking requirements, platform loading, tag systems, and what to report to the competent person.</t>
  </si>
  <si>
    <t xml:space="preserve">MEWP / Aerial Lift Training</t>
  </si>
  <si>
    <t xml:space="preserve">Operator training for boom and scissor lifts to ANSI A92 standards: pre-use inspection, fall restraint, ground conditions, and safe positioning near hazards.</t>
  </si>
  <si>
    <t xml:space="preserve">Forklift / PIT Training</t>
  </si>
  <si>
    <t xml:space="preserve">Powered industrial truck operator certification under 29 C.F.R. sec.1910.178, with classroom instruction, hands-on evaluation, and written operator authorization.</t>
  </si>
  <si>
    <t xml:space="preserve">Rigging &amp; Signal Person Training</t>
  </si>
  <si>
    <t xml:space="preserve">Sling selection and inspection, load weight and center of gravity, hitch configuration, and standard hand and voice signals for crane operations.</t>
  </si>
  <si>
    <t xml:space="preserve">Crane Awareness Training</t>
  </si>
  <si>
    <t xml:space="preserve">Awareness-level session on crane setup, load charts, swing radius, ground bearing pressure, and the exclusion zones that keep crews clear of suspended loads.</t>
  </si>
  <si>
    <t xml:space="preserve">Confined Space Awareness Training</t>
  </si>
  <si>
    <t xml:space="preserve">Permit and non-permit space identification, atmospheric hazards and monitoring, entry roles, attendant duties, and rescue expectations under 29 C.F.R. sec.1910.146.</t>
  </si>
  <si>
    <t xml:space="preserve">Excavation / Trenching Safety Training</t>
  </si>
  <si>
    <t xml:space="preserve">Soil classification, protective system selection, spoil placement, access and egress, and daily competent person inspection under 29 C.F.R. Part 1926 Subpart P.</t>
  </si>
  <si>
    <t xml:space="preserve">Lockout / Tagout Training</t>
  </si>
  <si>
    <t xml:space="preserve">Energy isolation procedures, authorized versus affected employee roles, group lockout, shift transfer, and verification of a zero energy state before work begins.</t>
  </si>
  <si>
    <t xml:space="preserve">Hazard Communication Training</t>
  </si>
  <si>
    <t xml:space="preserve">GHS labeling and pictograms, safety data sheet use, chemical inventory upkeep, and locating and following the written hazard communication program.</t>
  </si>
  <si>
    <t xml:space="preserve">PPE Training</t>
  </si>
  <si>
    <t xml:space="preserve">PPE hazard assessment, selection by exposure, fit and inspection, care and replacement, and the limits of each class of protective equipment.</t>
  </si>
  <si>
    <t xml:space="preserve">Electrical Safety Awareness</t>
  </si>
  <si>
    <t xml:space="preserve">Shock and arc flash hazard awareness, approach boundaries, GFCI and extension cord safety, and recognizing when work must be handed to a qualified person.</t>
  </si>
  <si>
    <t xml:space="preserve">NFPA 70E Awareness Training</t>
  </si>
  <si>
    <t xml:space="preserve">Arc flash risk assessment, incident energy and PPE category tables, equipment labeling requirements, and energized work permit expectations.</t>
  </si>
  <si>
    <t xml:space="preserve">Hot Work / Fire Watch Training</t>
  </si>
  <si>
    <t xml:space="preserve">Hot work permitting, combustible clearance and shielding, fire watch duties and equipment, and the required post-work monitoring period.</t>
  </si>
  <si>
    <t xml:space="preserve">Fire Extinguisher Training</t>
  </si>
  <si>
    <t xml:space="preserve">Extinguisher classes and matching, the PASS technique, deciding whether to fight or evacuate, and monthly inspection duties. Live discharge available on request.</t>
  </si>
  <si>
    <t xml:space="preserve">Silica Awareness Training</t>
  </si>
  <si>
    <t xml:space="preserve">Respirable crystalline silica exposure sources, Table 1 control methods, housekeeping restrictions, and medical surveillance triggers under 29 C.F.R. sec.1926.1153.</t>
  </si>
  <si>
    <t xml:space="preserve">Respiratory Protection Training</t>
  </si>
  <si>
    <t xml:space="preserve">Respirator selection, medical evaluation and fit test requirements, user seal checks, cartridge change schedules, and program administration under 29 C.F.R. sec.1910.134.</t>
  </si>
  <si>
    <t xml:space="preserve">Hearing Conservation Training</t>
  </si>
  <si>
    <t xml:space="preserve">Noise exposure and dose basics, audiometric testing, hearing protector selection and fit, and the elements of a written hearing conservation program.</t>
  </si>
  <si>
    <t xml:space="preserve">Heat Illness Prevention Training</t>
  </si>
  <si>
    <t xml:space="preserve">Heat illness warning signs and emergency response, acclimatization schedules, water, rest, and shade practices, and supervisor monitoring on high heat index days.</t>
  </si>
  <si>
    <t xml:space="preserve">Ergonomics Training</t>
  </si>
  <si>
    <t xml:space="preserve">Manual material handling, awkward posture and repetition risk factors, early symptom reporting, and practical task redesign for both field and office work.</t>
  </si>
  <si>
    <t xml:space="preserve">Bloodborne Pathogens Training</t>
  </si>
  <si>
    <t xml:space="preserve">Exposure control plan, universal precautions, sharps handling and spill cleanup, and post-exposure evaluation under 29 C.F.R. sec.1910.1030.</t>
  </si>
  <si>
    <t xml:space="preserve">First Aid / CPR / AED Training</t>
  </si>
  <si>
    <t xml:space="preserve">Instructor-led certification course covering adult CPR, AED operation, choking response, bleeding control, and workplace first aid. Certification cards are issued to each attendee.</t>
  </si>
  <si>
    <t xml:space="preserve">Incident Investigation Training</t>
  </si>
  <si>
    <t xml:space="preserve">Scene control, evidence and statement gathering, root cause analysis methods, corrective action development, and writing a defensible investigation report.</t>
  </si>
  <si>
    <t xml:space="preserve">JHA / JSA Training</t>
  </si>
  <si>
    <t xml:space="preserve">Breaking a task into steps, identifying the hazard in each step, selecting controls by the hierarchy, and running the completed JSA as a crew briefing.</t>
  </si>
  <si>
    <t xml:space="preserve">Defensive Driving Training</t>
  </si>
  <si>
    <t xml:space="preserve">Space and speed management, distraction and fatigue, adverse conditions, backing and spotter use, and company vehicle incident reporting.</t>
  </si>
  <si>
    <t xml:space="preserve">Spotter / Flagger Training</t>
  </si>
  <si>
    <t xml:space="preserve">Flagger station setup, signaling devices and procedures, work zone traffic control layouts, and communication protocols for spotting equipment.</t>
  </si>
  <si>
    <t xml:space="preserve">Contractor Management Training</t>
  </si>
  <si>
    <t xml:space="preserve">Prequalification, orientation and badging, insurance and scope verification, field oversight expectations, and contractor performance review.</t>
  </si>
  <si>
    <t xml:space="preserve">Safety Culture Workshop</t>
  </si>
  <si>
    <t xml:space="preserve">Facilitated leadership workshop on psychological safety, near-miss reporting, recognition, accountability, and converting safety metrics into field behavior.</t>
  </si>
  <si>
    <t xml:space="preserve">Training Session (general)</t>
  </si>
  <si>
    <t xml:space="preserve">Instructor-led session on a topic you specify. Scope, duration, and participant materials are confirmed before scheduling.</t>
  </si>
  <si>
    <t xml:space="preserve">Audits &amp; Field Support</t>
  </si>
  <si>
    <t xml:space="preserve">Audit</t>
  </si>
  <si>
    <t xml:space="preserve">Structured audit against OSHA and company program requirements, delivered as a scored findings report with prioritized corrective actions and due dates.</t>
  </si>
  <si>
    <t xml:space="preserve">In-Person Audit Day</t>
  </si>
  <si>
    <t xml:space="preserve">Day</t>
  </si>
  <si>
    <t xml:space="preserve">A billable day of on-site audit or inspection time. Use this when audit scope is measured in days rather than sold as a fixed audit package.</t>
  </si>
  <si>
    <t xml:space="preserve">A day of on-site safety support: pre-task briefings, field observations, corrective coaching, and a written end-of-day summary for management.</t>
  </si>
  <si>
    <t xml:space="preserve">Travel &amp; Expenses</t>
  </si>
  <si>
    <t xml:space="preserve">Mile</t>
  </si>
  <si>
    <t xml:space="preserve">Mileage billed per mile (Qty = miles).</t>
  </si>
  <si>
    <t xml:space="preserve">Night</t>
  </si>
  <si>
    <t xml:space="preserve">Overnight lodging (Qty = nights).</t>
  </si>
  <si>
    <t xml:space="preserve">Meals / incidentals (Qty = days).</t>
  </si>
  <si>
    <t xml:space="preserve">How to use this workbook</t>
  </si>
  <si>
    <t xml:space="preserve">Read once, then work in Fee Schedule and Deliverables.</t>
  </si>
  <si>
    <t xml:space="preserve">WHAT THIS IS</t>
  </si>
  <si>
    <t xml:space="preserve">The working copy of a proposal — the version you send to a client or a colleague to mark up. The signed version is the PDF or Word file generated from the platform; this workbook is what you argue over first.</t>
  </si>
  <si>
    <t xml:space="preserve">THE FOUR SHEETS</t>
  </si>
  <si>
    <t xml:space="preserve">Proposal Summary</t>
  </si>
  <si>
    <t xml:space="preserve">Who it is for, the commercial levers (discount, tax, deposit) and the totals. Totals are formulas.</t>
  </si>
  <si>
    <t xml:space="preserve">Fee Schedule</t>
  </si>
  <si>
    <t xml:space="preserve">The money. One row per quoted line. This is the sheet that drives every total.</t>
  </si>
  <si>
    <t xml:space="preserve">What we owe for that money, and what the client measures it against at acceptance.</t>
  </si>
  <si>
    <t xml:space="preserve">Reference. The full catalog with list prices. Do not edit — it is generated from the platform.</t>
  </si>
  <si>
    <t xml:space="preserve">COLOUR CODE</t>
  </si>
  <si>
    <t xml:space="preserve">Blue text</t>
  </si>
  <si>
    <t xml:space="preserve">Type here. Quantities, agreed prices, dates, names, comments.</t>
  </si>
  <si>
    <t xml:space="preserve">Black text</t>
  </si>
  <si>
    <t xml:space="preserve">Calculated. Overwriting one breaks the arithmetic for everything below it.</t>
  </si>
  <si>
    <t xml:space="preserve">Yellow fill</t>
  </si>
  <si>
    <t xml:space="preserve">Must be filled in before this file goes to a client.</t>
  </si>
  <si>
    <t xml:space="preserve">EDITING THE FEE SCHEDULE</t>
  </si>
  <si>
    <t xml:space="preserve">Add a line</t>
  </si>
  <si>
    <t xml:space="preserve">Pick a Line Item from the dropdown. Unit, list price and scope text fill in automatically.</t>
  </si>
  <si>
    <t xml:space="preserve">Discount a line</t>
  </si>
  <si>
    <t xml:space="preserve">Type your figure in Agreed Price. Blank means charge list price.</t>
  </si>
  <si>
    <t xml:space="preserve">Drop a line</t>
  </si>
  <si>
    <t xml:space="preserve">Set Include? to N. The row stays visible for the client to see, priced at zero.</t>
  </si>
  <si>
    <t xml:space="preserve">Quote something custom</t>
  </si>
  <si>
    <t xml:space="preserve">Type your own name in Line Item and set Agreed Price yourself. The lookup will not find it, which is fine.</t>
  </si>
  <si>
    <t xml:space="preserve">Add more rows</t>
  </si>
  <si>
    <t xml:space="preserve">Insert rows inside the table, not below it, then copy the formulas down from the row above.</t>
  </si>
  <si>
    <t xml:space="preserve">HOW THE TOTAL IS WORKED OUT</t>
  </si>
  <si>
    <t xml:space="preserve">subtotal = sum of the line totals</t>
  </si>
  <si>
    <t xml:space="preserve">discount = subtotal x discount %</t>
  </si>
  <si>
    <t xml:space="preserve">taxable  = subtotal - discount</t>
  </si>
  <si>
    <t xml:space="preserve">tax      = taxable x tax %   (tax is charged after the discount, not before)</t>
  </si>
  <si>
    <t xml:space="preserve">total    = taxable + tax</t>
  </si>
  <si>
    <t xml:space="preserve">deposit  = total x deposit %   (of the total, not of the subtotal)</t>
  </si>
  <si>
    <t xml:space="preserve">ASSUMPTIONS BAKED IN</t>
  </si>
  <si>
    <t xml:space="preserve">Prices</t>
  </si>
  <si>
    <t xml:space="preserve">List prices are the current platform catalog (lib/proposals/catalog.ts). They are defaults, not floors — override any of them in Agreed Price.</t>
  </si>
  <si>
    <t xml:space="preserve">Example content</t>
  </si>
  <si>
    <t xml:space="preserve">The workbook ships with a worked mid-size platform rollout in rows 6-21 of Fee Schedule and the matching deliverables. It is an example. Replace it.</t>
  </si>
  <si>
    <t xml:space="preserve">Currency</t>
  </si>
  <si>
    <t xml:space="preserve">USD throughout. Line totals are rounded to the cent per line, then added — same as the generated proposal.</t>
  </si>
  <si>
    <t xml:space="preserve">Travel</t>
  </si>
  <si>
    <t xml:space="preserve">Mileage, hotel and per diem lines are estimates until the schedule is fixed.</t>
  </si>
  <si>
    <t xml:space="preserve">SENDING IT BACK</t>
  </si>
  <si>
    <t xml:space="preserve">Mark deliverable rows Agreed / Changed / Removed, leave comments in the last column, and return the file. The agreed version is what gets loaded back into the platform and printed for signature.</t>
  </si>
  <si>
    <t xml:space="preserve">Reliance Predictive Safety Technologies · Proposal Form Rev. 15 · workbook generated from the platform price book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</si>
</sst>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\$#,##0.00;&quot;($&quot;#,##0.00\);\—"/>
    <numFmt numFmtId="167" formatCode="#,##0.##"/>
    <numFmt numFmtId="168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C3450"/>
      <name val="Arial"/>
      <family val="0"/>
      <charset val="1"/>
    </font>
    <font>
      <i val="true"/>
      <sz val="9"/>
      <color rgb="FF5D6F7D"/>
      <name val="Arial"/>
      <family val="0"/>
      <charset val="1"/>
    </font>
    <font>
      <b val="true"/>
      <sz val="10"/>
      <color rgb="FF0C3450"/>
      <name val="Arial"/>
      <family val="0"/>
      <charset val="1"/>
    </font>
    <font>
      <sz val="10"/>
      <color rgb="FF16242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6242F"/>
      <name val="Arial"/>
      <family val="0"/>
      <charset val="1"/>
    </font>
    <font>
      <b val="true"/>
      <sz val="12"/>
      <color rgb="FF0C3450"/>
      <name val="Arial"/>
      <family val="0"/>
      <charset val="1"/>
    </font>
    <font>
      <sz val="9"/>
      <color rgb="FF5D6F7D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sz val="9"/>
      <color rgb="FF16242F"/>
      <name val="Arial"/>
      <family val="0"/>
      <charset val="1"/>
    </font>
    <font>
      <b val="true"/>
      <sz val="9"/>
      <color rgb="FF16242F"/>
      <name val="Arial"/>
      <family val="0"/>
      <charset val="1"/>
    </font>
    <font>
      <b val="true"/>
      <sz val="11"/>
      <color rgb="FF0C3450"/>
      <name val="Arial"/>
      <family val="0"/>
      <charset val="1"/>
    </font>
    <font>
      <i val="true"/>
      <sz val="8"/>
      <color rgb="FF5D6F7D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CA23A"/>
        <bgColor rgb="FFFF8080"/>
      </patternFill>
    </fill>
    <fill>
      <patternFill patternType="solid">
        <fgColor rgb="FFFFFF00"/>
        <bgColor rgb="FFFFFF00"/>
      </patternFill>
    </fill>
    <fill>
      <patternFill patternType="solid">
        <fgColor rgb="FFFBF2DD"/>
        <bgColor rgb="FFF1F6FA"/>
      </patternFill>
    </fill>
    <fill>
      <patternFill patternType="solid">
        <fgColor rgb="FF0C3450"/>
        <bgColor rgb="FF16242F"/>
      </patternFill>
    </fill>
    <fill>
      <patternFill patternType="solid">
        <fgColor rgb="FFF1F6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BE2E9"/>
      </left>
      <right style="thin">
        <color rgb="FFDBE2E9"/>
      </right>
      <top style="thin">
        <color rgb="FFDBE2E9"/>
      </top>
      <bottom style="thin">
        <color rgb="FFDBE2E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F2DD"/>
      <rgbColor rgb="FFF1F6FA"/>
      <rgbColor rgb="FF660066"/>
      <rgbColor rgb="FFFF8080"/>
      <rgbColor rgb="FF0066CC"/>
      <rgbColor rgb="FFDBE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CA23A"/>
      <rgbColor rgb="FFFF6600"/>
      <rgbColor rgb="FF5D6F7D"/>
      <rgbColor rgb="FF969696"/>
      <rgbColor rgb="FF0C3450"/>
      <rgbColor rgb="FF339966"/>
      <rgbColor rgb="FF003300"/>
      <rgbColor rgb="FF333300"/>
      <rgbColor rgb="FF993300"/>
      <rgbColor rgb="FF993366"/>
      <rgbColor rgb="FF333399"/>
      <rgbColor rgb="FF1624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2"/>
    <col collapsed="false" customWidth="true" hidden="false" outlineLevel="0" max="3" min="3" style="0" width="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3" hidden="false" customHeight="true" outlineLevel="0" collapsed="false">
      <c r="A3" s="3"/>
      <c r="B3" s="3"/>
      <c r="C3" s="3"/>
      <c r="D3" s="3"/>
    </row>
    <row r="5" customFormat="false" ht="15" hidden="false" customHeight="false" outlineLevel="0" collapsed="false">
      <c r="A5" s="4" t="s">
        <v>2</v>
      </c>
    </row>
    <row r="6" customFormat="false" ht="15" hidden="false" customHeight="false" outlineLevel="0" collapsed="false">
      <c r="A6" s="5" t="s">
        <v>3</v>
      </c>
      <c r="B6" s="6"/>
    </row>
    <row r="7" customFormat="false" ht="15" hidden="false" customHeight="false" outlineLevel="0" collapsed="false">
      <c r="A7" s="5" t="s">
        <v>4</v>
      </c>
      <c r="B7" s="6"/>
    </row>
    <row r="8" customFormat="false" ht="15" hidden="false" customHeight="false" outlineLevel="0" collapsed="false">
      <c r="A8" s="5" t="s">
        <v>5</v>
      </c>
      <c r="B8" s="6"/>
    </row>
    <row r="9" customFormat="false" ht="15" hidden="false" customHeight="false" outlineLevel="0" collapsed="false">
      <c r="A9" s="5" t="s">
        <v>6</v>
      </c>
      <c r="B9" s="6"/>
    </row>
    <row r="11" customFormat="false" ht="15" hidden="false" customHeight="false" outlineLevel="0" collapsed="false">
      <c r="A11" s="5" t="s">
        <v>7</v>
      </c>
      <c r="B11" s="6"/>
    </row>
    <row r="12" customFormat="false" ht="15" hidden="false" customHeight="false" outlineLevel="0" collapsed="false">
      <c r="A12" s="5" t="s">
        <v>8</v>
      </c>
      <c r="B12" s="7"/>
    </row>
    <row r="13" customFormat="false" ht="15" hidden="false" customHeight="false" outlineLevel="0" collapsed="false">
      <c r="A13" s="5" t="s">
        <v>9</v>
      </c>
      <c r="B13" s="7"/>
    </row>
    <row r="14" customFormat="false" ht="15" hidden="false" customHeight="false" outlineLevel="0" collapsed="false">
      <c r="A14" s="5" t="s">
        <v>10</v>
      </c>
      <c r="B14" s="7"/>
    </row>
    <row r="16" customFormat="false" ht="15" hidden="false" customHeight="false" outlineLevel="0" collapsed="false">
      <c r="A16" s="5" t="s">
        <v>11</v>
      </c>
      <c r="B16" s="7"/>
    </row>
    <row r="17" customFormat="false" ht="15" hidden="false" customHeight="false" outlineLevel="0" collapsed="false">
      <c r="A17" s="5" t="s">
        <v>12</v>
      </c>
      <c r="B17" s="7"/>
    </row>
    <row r="18" customFormat="false" ht="15" hidden="false" customHeight="false" outlineLevel="0" collapsed="false">
      <c r="A18" s="5" t="s">
        <v>13</v>
      </c>
      <c r="B18" s="7" t="n">
        <v>12</v>
      </c>
    </row>
    <row r="19" customFormat="false" ht="15" hidden="false" customHeight="false" outlineLevel="0" collapsed="false">
      <c r="A19" s="5" t="s">
        <v>14</v>
      </c>
      <c r="B19" s="7" t="n">
        <v>50</v>
      </c>
    </row>
    <row r="20" customFormat="false" ht="15" hidden="false" customHeight="false" outlineLevel="0" collapsed="false">
      <c r="A20" s="5" t="s">
        <v>15</v>
      </c>
      <c r="B20" s="7" t="n">
        <v>5</v>
      </c>
    </row>
    <row r="22" customFormat="false" ht="15" hidden="false" customHeight="false" outlineLevel="0" collapsed="false">
      <c r="A22" s="4" t="s">
        <v>16</v>
      </c>
    </row>
    <row r="23" customFormat="false" ht="15" hidden="false" customHeight="false" outlineLevel="0" collapsed="false">
      <c r="A23" s="5" t="s">
        <v>17</v>
      </c>
      <c r="B23" s="8" t="n">
        <v>0</v>
      </c>
    </row>
    <row r="24" customFormat="false" ht="15" hidden="false" customHeight="false" outlineLevel="0" collapsed="false">
      <c r="A24" s="5" t="s">
        <v>18</v>
      </c>
      <c r="B24" s="8" t="n">
        <v>0</v>
      </c>
    </row>
    <row r="25" customFormat="false" ht="15" hidden="false" customHeight="false" outlineLevel="0" collapsed="false">
      <c r="A25" s="5" t="s">
        <v>19</v>
      </c>
      <c r="B25" s="8" t="n">
        <v>0.25</v>
      </c>
    </row>
    <row r="27" customFormat="false" ht="15" hidden="false" customHeight="false" outlineLevel="0" collapsed="false">
      <c r="A27" s="4" t="s">
        <v>20</v>
      </c>
    </row>
    <row r="28" customFormat="false" ht="15" hidden="false" customHeight="false" outlineLevel="0" collapsed="false">
      <c r="A28" s="5" t="s">
        <v>21</v>
      </c>
      <c r="B28" s="9" t="n">
        <f aca="false">'Fee Schedule'!$I$52</f>
        <v>161815</v>
      </c>
    </row>
    <row r="29" customFormat="false" ht="15" hidden="false" customHeight="false" outlineLevel="0" collapsed="false">
      <c r="A29" s="5" t="s">
        <v>22</v>
      </c>
      <c r="B29" s="9" t="n">
        <f aca="false">-ROUND($B$28*$B$23,2)</f>
        <v>-0</v>
      </c>
    </row>
    <row r="30" customFormat="false" ht="15" hidden="false" customHeight="false" outlineLevel="0" collapsed="false">
      <c r="A30" s="5" t="s">
        <v>23</v>
      </c>
      <c r="B30" s="9" t="n">
        <f aca="false">$B$28+$B$29</f>
        <v>161815</v>
      </c>
    </row>
    <row r="31" customFormat="false" ht="15" hidden="false" customHeight="false" outlineLevel="0" collapsed="false">
      <c r="A31" s="5" t="s">
        <v>24</v>
      </c>
      <c r="B31" s="9" t="n">
        <f aca="false">ROUND($B$30*$B$24,2)</f>
        <v>0</v>
      </c>
    </row>
    <row r="32" customFormat="false" ht="15" hidden="false" customHeight="false" outlineLevel="0" collapsed="false">
      <c r="A32" s="10" t="s">
        <v>25</v>
      </c>
      <c r="B32" s="11" t="n">
        <f aca="false">$B$30+$B$31</f>
        <v>161815</v>
      </c>
    </row>
    <row r="33" customFormat="false" ht="15" hidden="false" customHeight="false" outlineLevel="0" collapsed="false">
      <c r="A33" s="5" t="s">
        <v>26</v>
      </c>
      <c r="B33" s="9" t="n">
        <f aca="false">ROUND($B$32*$B$25,2)</f>
        <v>40453.75</v>
      </c>
    </row>
    <row r="34" customFormat="false" ht="15" hidden="false" customHeight="false" outlineLevel="0" collapsed="false">
      <c r="A34" s="5" t="s">
        <v>27</v>
      </c>
      <c r="B34" s="9" t="n">
        <f aca="false">$B$32-$B$33</f>
        <v>121361.25</v>
      </c>
    </row>
    <row r="37" customFormat="false" ht="15" hidden="false" customHeight="false" outlineLevel="0" collapsed="false">
      <c r="A37" s="4" t="s">
        <v>28</v>
      </c>
    </row>
    <row r="38" customFormat="false" ht="15" hidden="false" customHeight="false" outlineLevel="0" collapsed="false">
      <c r="A38" s="12" t="s">
        <v>29</v>
      </c>
    </row>
    <row r="39" customFormat="false" ht="15" hidden="false" customHeight="false" outlineLevel="0" collapsed="false">
      <c r="A39" s="12" t="s">
        <v>30</v>
      </c>
    </row>
    <row r="40" customFormat="false" ht="15" hidden="false" customHeight="false" outlineLevel="0" collapsed="false">
      <c r="A40" s="12" t="s">
        <v>31</v>
      </c>
    </row>
    <row r="41" customFormat="false" ht="15" hidden="false" customHeight="false" outlineLevel="0" collapsed="false">
      <c r="A41" s="1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74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16"/>
  </cols>
  <sheetData>
    <row r="1" customFormat="false" ht="19.7" hidden="false" customHeight="false" outlineLevel="0" collapsed="false">
      <c r="A1" s="1" t="s">
        <v>33</v>
      </c>
    </row>
    <row r="2" customFormat="false" ht="15" hidden="false" customHeight="false" outlineLevel="0" collapsed="false">
      <c r="A2" s="2" t="s">
        <v>34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</row>
    <row r="5" customFormat="false" ht="30" hidden="false" customHeight="true" outlineLevel="0" collapsed="false">
      <c r="A5" s="13" t="s">
        <v>35</v>
      </c>
      <c r="B5" s="13" t="s">
        <v>36</v>
      </c>
      <c r="C5" s="13" t="s">
        <v>37</v>
      </c>
      <c r="D5" s="13" t="s">
        <v>38</v>
      </c>
      <c r="E5" s="13" t="s">
        <v>39</v>
      </c>
      <c r="F5" s="13" t="s">
        <v>40</v>
      </c>
      <c r="G5" s="13" t="s">
        <v>41</v>
      </c>
      <c r="H5" s="13" t="s">
        <v>42</v>
      </c>
      <c r="I5" s="13" t="s">
        <v>43</v>
      </c>
    </row>
    <row r="6" customFormat="false" ht="33.75" hidden="false" customHeight="true" outlineLevel="0" collapsed="false">
      <c r="A6" s="14" t="s">
        <v>44</v>
      </c>
      <c r="B6" s="15" t="str">
        <f aca="false">IF($C6="","",IFERROR(INDEX(CatalogGroup,MATCH($C6,CatalogNames,0)),"Custom"))</f>
        <v>Platform &amp; Licensing</v>
      </c>
      <c r="C6" s="16" t="s">
        <v>45</v>
      </c>
      <c r="D6" s="17" t="str">
        <f aca="false">IF($C6="","",IFERROR(INDEX(CatalogDesc,MATCH($C6,CatalogNames,0)),""))</f>
        <v>Expanded safety management platform for active jobsite operations, document control, audits, and leadership reporting. Includes 50 users across 5 jobsites.</v>
      </c>
      <c r="E6" s="18" t="str">
        <f aca="false">IF($C6="","",IFERROR(INDEX(CatalogUnit,MATCH($C6,CatalogNames,0)),"Unit"))</f>
        <v>Term</v>
      </c>
      <c r="F6" s="19" t="n">
        <v>1</v>
      </c>
      <c r="G6" s="9" t="n">
        <f aca="false">IF($C6="","",IFERROR(INDEX(CatalogPrice,MATCH($C6,CatalogNames,0)),0))</f>
        <v>65000</v>
      </c>
      <c r="H6" s="20"/>
      <c r="I6" s="21" t="n">
        <f aca="false">IF($C6="","",IF(UPPER($A6)="N",0,ROUND($F6*IF($H6="",$G6,$H6),2)))</f>
        <v>65000</v>
      </c>
    </row>
    <row r="7" customFormat="false" ht="33.75" hidden="false" customHeight="true" outlineLevel="0" collapsed="false">
      <c r="A7" s="14" t="s">
        <v>44</v>
      </c>
      <c r="B7" s="15" t="str">
        <f aca="false">IF($C7="","",IFERROR(INDEX(CatalogGroup,MATCH($C7,CatalogNames,0)),"Custom"))</f>
        <v>Implementation Phases</v>
      </c>
      <c r="C7" s="16" t="s">
        <v>46</v>
      </c>
      <c r="D7" s="17" t="str">
        <f aca="false">IF($C7="","",IFERROR(INDEX(CatalogDesc,MATCH($C7,CatalogNames,0)),""))</f>
        <v>Confirm client objectives, gather current documents, map users, identify jobsite needs, and finalize configuration priorities.</v>
      </c>
      <c r="E7" s="18" t="str">
        <f aca="false">IF($C7="","",IFERROR(INDEX(CatalogUnit,MATCH($C7,CatalogNames,0)),"Unit"))</f>
        <v>Phase</v>
      </c>
      <c r="F7" s="19" t="n">
        <v>1</v>
      </c>
      <c r="G7" s="9" t="n">
        <f aca="false">IF($C7="","",IFERROR(INDEX(CatalogPrice,MATCH($C7,CatalogNames,0)),0))</f>
        <v>3500</v>
      </c>
      <c r="H7" s="20"/>
      <c r="I7" s="21" t="n">
        <f aca="false">IF($C7="","",IF(UPPER($A7)="N",0,ROUND($F7*IF($H7="",$G7,$H7),2)))</f>
        <v>3500</v>
      </c>
    </row>
    <row r="8" customFormat="false" ht="33.75" hidden="false" customHeight="true" outlineLevel="0" collapsed="false">
      <c r="A8" s="14" t="s">
        <v>44</v>
      </c>
      <c r="B8" s="15" t="str">
        <f aca="false">IF($C8="","",IFERROR(INDEX(CatalogGroup,MATCH($C8,CatalogNames,0)),"Custom"))</f>
        <v>Implementation Phases</v>
      </c>
      <c r="C8" s="16" t="s">
        <v>47</v>
      </c>
      <c r="D8" s="17" t="str">
        <f aca="false">IF($C8="","",IFERROR(INDEX(CatalogDesc,MATCH($C8,CatalogNames,0)),""))</f>
        <v>Configure modules, templates, dashboards, workflows, permission groups, and billing package selections.</v>
      </c>
      <c r="E8" s="18" t="str">
        <f aca="false">IF($C8="","",IFERROR(INDEX(CatalogUnit,MATCH($C8,CatalogNames,0)),"Unit"))</f>
        <v>Phase</v>
      </c>
      <c r="F8" s="19" t="n">
        <v>1</v>
      </c>
      <c r="G8" s="9" t="n">
        <f aca="false">IF($C8="","",IFERROR(INDEX(CatalogPrice,MATCH($C8,CatalogNames,0)),0))</f>
        <v>10000</v>
      </c>
      <c r="H8" s="20"/>
      <c r="I8" s="21" t="n">
        <f aca="false">IF($C8="","",IF(UPPER($A8)="N",0,ROUND($F8*IF($H8="",$G8,$H8),2)))</f>
        <v>10000</v>
      </c>
    </row>
    <row r="9" customFormat="false" ht="33.75" hidden="false" customHeight="true" outlineLevel="0" collapsed="false">
      <c r="A9" s="14" t="s">
        <v>44</v>
      </c>
      <c r="B9" s="15" t="str">
        <f aca="false">IF($C9="","",IFERROR(INDEX(CatalogGroup,MATCH($C9,CatalogNames,0)),"Custom"))</f>
        <v>Implementation Phases</v>
      </c>
      <c r="C9" s="16" t="s">
        <v>48</v>
      </c>
      <c r="D9" s="17" t="str">
        <f aca="false">IF($C9="","",IFERROR(INDEX(CatalogDesc,MATCH($C9,CatalogNames,0)),""))</f>
        <v>Review sample outputs, confirm required fields, verify reporting logic, test workflows, and correct gaps before launch.</v>
      </c>
      <c r="E9" s="18" t="str">
        <f aca="false">IF($C9="","",IFERROR(INDEX(CatalogUnit,MATCH($C9,CatalogNames,0)),"Unit"))</f>
        <v>Phase</v>
      </c>
      <c r="F9" s="19" t="n">
        <v>1</v>
      </c>
      <c r="G9" s="9" t="n">
        <f aca="false">IF($C9="","",IFERROR(INDEX(CatalogPrice,MATCH($C9,CatalogNames,0)),0))</f>
        <v>6500</v>
      </c>
      <c r="H9" s="20"/>
      <c r="I9" s="21" t="n">
        <f aca="false">IF($C9="","",IF(UPPER($A9)="N",0,ROUND($F9*IF($H9="",$G9,$H9),2)))</f>
        <v>6500</v>
      </c>
    </row>
    <row r="10" customFormat="false" ht="33.75" hidden="false" customHeight="true" outlineLevel="0" collapsed="false">
      <c r="A10" s="14" t="s">
        <v>44</v>
      </c>
      <c r="B10" s="15" t="str">
        <f aca="false">IF($C10="","",IFERROR(INDEX(CatalogGroup,MATCH($C10,CatalogNames,0)),"Custom"))</f>
        <v>Implementation Phases</v>
      </c>
      <c r="C10" s="16" t="s">
        <v>49</v>
      </c>
      <c r="D10" s="17" t="str">
        <f aca="false">IF($C10="","",IFERROR(INDEX(CatalogDesc,MATCH($C10,CatalogNames,0)),""))</f>
        <v>Support rollout, user training, manager review, reporting cadence, and go-live stabilization.</v>
      </c>
      <c r="E10" s="18" t="str">
        <f aca="false">IF($C10="","",IFERROR(INDEX(CatalogUnit,MATCH($C10,CatalogNames,0)),"Unit"))</f>
        <v>Phase</v>
      </c>
      <c r="F10" s="19" t="n">
        <v>1</v>
      </c>
      <c r="G10" s="9" t="n">
        <f aca="false">IF($C10="","",IFERROR(INDEX(CatalogPrice,MATCH($C10,CatalogNames,0)),0))</f>
        <v>8000</v>
      </c>
      <c r="H10" s="20"/>
      <c r="I10" s="21" t="n">
        <f aca="false">IF($C10="","",IF(UPPER($A10)="N",0,ROUND($F10*IF($H10="",$G10,$H10),2)))</f>
        <v>8000</v>
      </c>
    </row>
    <row r="11" customFormat="false" ht="33.75" hidden="false" customHeight="true" outlineLevel="0" collapsed="false">
      <c r="A11" s="14" t="s">
        <v>44</v>
      </c>
      <c r="B11" s="15" t="str">
        <f aca="false">IF($C11="","",IFERROR(INDEX(CatalogGroup,MATCH($C11,CatalogNames,0)),"Custom"))</f>
        <v>Implementation &amp; Consulting</v>
      </c>
      <c r="C11" s="16" t="s">
        <v>50</v>
      </c>
      <c r="D11" s="17" t="str">
        <f aca="false">IF($C11="","",IFERROR(INDEX(CatalogDesc,MATCH($C11,CatalogNames,0)),""))</f>
        <v>Leading indicator tracking, precursor cells, trend logic, risk scoring, dashboard review, and executive summary outputs.</v>
      </c>
      <c r="E11" s="18" t="str">
        <f aca="false">IF($C11="","",IFERROR(INDEX(CatalogUnit,MATCH($C11,CatalogNames,0)),"Unit"))</f>
        <v>Project</v>
      </c>
      <c r="F11" s="19" t="n">
        <v>1</v>
      </c>
      <c r="G11" s="9" t="n">
        <f aca="false">IF($C11="","",IFERROR(INDEX(CatalogPrice,MATCH($C11,CatalogNames,0)),0))</f>
        <v>22500</v>
      </c>
      <c r="H11" s="20"/>
      <c r="I11" s="21" t="n">
        <f aca="false">IF($C11="","",IF(UPPER($A11)="N",0,ROUND($F11*IF($H11="",$G11,$H11),2)))</f>
        <v>22500</v>
      </c>
    </row>
    <row r="12" customFormat="false" ht="33.75" hidden="false" customHeight="true" outlineLevel="0" collapsed="false">
      <c r="A12" s="14" t="s">
        <v>44</v>
      </c>
      <c r="B12" s="15" t="str">
        <f aca="false">IF($C12="","",IFERROR(INDEX(CatalogGroup,MATCH($C12,CatalogNames,0)),"Custom"))</f>
        <v>Implementation &amp; Consulting</v>
      </c>
      <c r="C12" s="16" t="s">
        <v>51</v>
      </c>
      <c r="D12" s="17" t="str">
        <f aca="false">IF($C12="","",IFERROR(INDEX(CatalogDesc,MATCH($C12,CatalogNames,0)),""))</f>
        <v>Role-based training matrix, expiration tracking, missing training summaries, and compliance reporting.</v>
      </c>
      <c r="E12" s="18" t="str">
        <f aca="false">IF($C12="","",IFERROR(INDEX(CatalogUnit,MATCH($C12,CatalogNames,0)),"Unit"))</f>
        <v>Project</v>
      </c>
      <c r="F12" s="19" t="n">
        <v>1</v>
      </c>
      <c r="G12" s="9" t="n">
        <f aca="false">IF($C12="","",IFERROR(INDEX(CatalogPrice,MATCH($C12,CatalogNames,0)),0))</f>
        <v>9500</v>
      </c>
      <c r="H12" s="20"/>
      <c r="I12" s="21" t="n">
        <f aca="false">IF($C12="","",IF(UPPER($A12)="N",0,ROUND($F12*IF($H12="",$G12,$H12),2)))</f>
        <v>9500</v>
      </c>
    </row>
    <row r="13" customFormat="false" ht="33.75" hidden="false" customHeight="true" outlineLevel="0" collapsed="false">
      <c r="A13" s="14" t="s">
        <v>44</v>
      </c>
      <c r="B13" s="15" t="str">
        <f aca="false">IF($C13="","",IFERROR(INDEX(CatalogGroup,MATCH($C13,CatalogNames,0)),"Custom"))</f>
        <v>Implementation &amp; Consulting</v>
      </c>
      <c r="C13" s="16" t="s">
        <v>52</v>
      </c>
      <c r="D13" s="17" t="str">
        <f aca="false">IF($C13="","",IFERROR(INDEX(CatalogDesc,MATCH($C13,CatalogNames,0)),""))</f>
        <v>Field issue capture, JSA support, inspection entry, photo observations, and mobile user rollout support.</v>
      </c>
      <c r="E13" s="18" t="str">
        <f aca="false">IF($C13="","",IFERROR(INDEX(CatalogUnit,MATCH($C13,CatalogNames,0)),"Unit"))</f>
        <v>Project</v>
      </c>
      <c r="F13" s="19" t="n">
        <v>1</v>
      </c>
      <c r="G13" s="9" t="n">
        <f aca="false">IF($C13="","",IFERROR(INDEX(CatalogPrice,MATCH($C13,CatalogNames,0)),0))</f>
        <v>18500</v>
      </c>
      <c r="H13" s="20"/>
      <c r="I13" s="21" t="n">
        <f aca="false">IF($C13="","",IF(UPPER($A13)="N",0,ROUND($F13*IF($H13="",$G13,$H13),2)))</f>
        <v>18500</v>
      </c>
    </row>
    <row r="14" customFormat="false" ht="33.75" hidden="false" customHeight="true" outlineLevel="0" collapsed="false">
      <c r="A14" s="14" t="s">
        <v>53</v>
      </c>
      <c r="B14" s="15" t="str">
        <f aca="false">IF($C14="","",IFERROR(INDEX(CatalogGroup,MATCH($C14,CatalogNames,0)),"Custom"))</f>
        <v>Implementation &amp; Consulting</v>
      </c>
      <c r="C14" s="16" t="s">
        <v>54</v>
      </c>
      <c r="D14" s="17" t="str">
        <f aca="false">IF($C14="","",IFERROR(INDEX(CatalogDesc,MATCH($C14,CatalogNames,0)),""))</f>
        <v>AI-supported validation gates for intake quality, missing data checks, risk classification, and document consistency review.</v>
      </c>
      <c r="E14" s="18" t="str">
        <f aca="false">IF($C14="","",IFERROR(INDEX(CatalogUnit,MATCH($C14,CatalogNames,0)),"Unit"))</f>
        <v>Project</v>
      </c>
      <c r="F14" s="19" t="n">
        <v>1</v>
      </c>
      <c r="G14" s="9" t="n">
        <f aca="false">IF($C14="","",IFERROR(INDEX(CatalogPrice,MATCH($C14,CatalogNames,0)),0))</f>
        <v>27500</v>
      </c>
      <c r="H14" s="20"/>
      <c r="I14" s="21" t="n">
        <f aca="false">IF($C14="","",IF(UPPER($A14)="N",0,ROUND($F14*IF($H14="",$G14,$H14),2)))</f>
        <v>0</v>
      </c>
    </row>
    <row r="15" customFormat="false" ht="33.75" hidden="false" customHeight="true" outlineLevel="0" collapsed="false">
      <c r="A15" s="14" t="s">
        <v>44</v>
      </c>
      <c r="B15" s="15" t="str">
        <f aca="false">IF($C15="","",IFERROR(INDEX(CatalogGroup,MATCH($C15,CatalogNames,0)),"Custom"))</f>
        <v>Safety Documents &amp; Programs</v>
      </c>
      <c r="C15" s="16" t="s">
        <v>55</v>
      </c>
      <c r="D15" s="17" t="str">
        <f aca="false">IF($C15="","",IFERROR(INDEX(CatalogDesc,MATCH($C15,CatalogNames,0)),""))</f>
        <v>Safety document or program, medium length (up to 60 pages).</v>
      </c>
      <c r="E15" s="18" t="str">
        <f aca="false">IF($C15="","",IFERROR(INDEX(CatalogUnit,MATCH($C15,CatalogNames,0)),"Unit"))</f>
        <v>Document</v>
      </c>
      <c r="F15" s="19" t="n">
        <v>4</v>
      </c>
      <c r="G15" s="9" t="n">
        <f aca="false">IF($C15="","",IFERROR(INDEX(CatalogPrice,MATCH($C15,CatalogNames,0)),0))</f>
        <v>1150</v>
      </c>
      <c r="H15" s="20"/>
      <c r="I15" s="21" t="n">
        <f aca="false">IF($C15="","",IF(UPPER($A15)="N",0,ROUND($F15*IF($H15="",$G15,$H15),2)))</f>
        <v>4600</v>
      </c>
    </row>
    <row r="16" customFormat="false" ht="33.75" hidden="false" customHeight="true" outlineLevel="0" collapsed="false">
      <c r="A16" s="14" t="s">
        <v>44</v>
      </c>
      <c r="B16" s="15" t="str">
        <f aca="false">IF($C16="","",IFERROR(INDEX(CatalogGroup,MATCH($C16,CatalogNames,0)),"Custom"))</f>
        <v>Training Catalog</v>
      </c>
      <c r="C16" s="16" t="s">
        <v>56</v>
      </c>
      <c r="D16" s="17" t="str">
        <f aca="false">IF($C16="","",IFERROR(INDEX(CatalogDesc,MATCH($C16,CatalogNames,0)),""))</f>
        <v>OSHA 30-hour outreach course for supervisors and safety leads, covering hazard control, program administration, and OSHA recordkeeping. Department of Labor cards are issued to each attendee.</v>
      </c>
      <c r="E16" s="18" t="str">
        <f aca="false">IF($C16="","",IFERROR(INDEX(CatalogUnit,MATCH($C16,CatalogNames,0)),"Unit"))</f>
        <v>Person</v>
      </c>
      <c r="F16" s="19" t="n">
        <v>6</v>
      </c>
      <c r="G16" s="9" t="n">
        <f aca="false">IF($C16="","",IFERROR(INDEX(CatalogPrice,MATCH($C16,CatalogNames,0)),0))</f>
        <v>510</v>
      </c>
      <c r="H16" s="20"/>
      <c r="I16" s="21" t="n">
        <f aca="false">IF($C16="","",IF(UPPER($A16)="N",0,ROUND($F16*IF($H16="",$G16,$H16),2)))</f>
        <v>3060</v>
      </c>
    </row>
    <row r="17" customFormat="false" ht="33.75" hidden="false" customHeight="true" outlineLevel="0" collapsed="false">
      <c r="A17" s="14" t="s">
        <v>44</v>
      </c>
      <c r="B17" s="15" t="str">
        <f aca="false">IF($C17="","",IFERROR(INDEX(CatalogGroup,MATCH($C17,CatalogNames,0)),"Custom"))</f>
        <v>Audits &amp; Field Support</v>
      </c>
      <c r="C17" s="16" t="s">
        <v>57</v>
      </c>
      <c r="D17" s="17" t="str">
        <f aca="false">IF($C17="","",IFERROR(INDEX(CatalogDesc,MATCH($C17,CatalogNames,0)),""))</f>
        <v>Structured audit against OSHA and company program requirements, delivered as a scored findings report with prioritized corrective actions and due dates.</v>
      </c>
      <c r="E17" s="18" t="str">
        <f aca="false">IF($C17="","",IFERROR(INDEX(CatalogUnit,MATCH($C17,CatalogNames,0)),"Unit"))</f>
        <v>Audit</v>
      </c>
      <c r="F17" s="19" t="n">
        <v>2</v>
      </c>
      <c r="G17" s="9" t="n">
        <f aca="false">IF($C17="","",IFERROR(INDEX(CatalogPrice,MATCH($C17,CatalogNames,0)),0))</f>
        <v>1750</v>
      </c>
      <c r="H17" s="20"/>
      <c r="I17" s="21" t="n">
        <f aca="false">IF($C17="","",IF(UPPER($A17)="N",0,ROUND($F17*IF($H17="",$G17,$H17),2)))</f>
        <v>3500</v>
      </c>
    </row>
    <row r="18" customFormat="false" ht="33.75" hidden="false" customHeight="true" outlineLevel="0" collapsed="false">
      <c r="A18" s="14" t="s">
        <v>44</v>
      </c>
      <c r="B18" s="15" t="str">
        <f aca="false">IF($C18="","",IFERROR(INDEX(CatalogGroup,MATCH($C18,CatalogNames,0)),"Custom"))</f>
        <v>Audits &amp; Field Support</v>
      </c>
      <c r="C18" s="16" t="s">
        <v>58</v>
      </c>
      <c r="D18" s="17" t="str">
        <f aca="false">IF($C18="","",IFERROR(INDEX(CatalogDesc,MATCH($C18,CatalogNames,0)),""))</f>
        <v>A day of on-site safety support: pre-task briefings, field observations, corrective coaching, and a written end-of-day summary for management.</v>
      </c>
      <c r="E18" s="18" t="str">
        <f aca="false">IF($C18="","",IFERROR(INDEX(CatalogUnit,MATCH($C18,CatalogNames,0)),"Unit"))</f>
        <v>Day</v>
      </c>
      <c r="F18" s="19" t="n">
        <v>4</v>
      </c>
      <c r="G18" s="9" t="n">
        <f aca="false">IF($C18="","",IFERROR(INDEX(CatalogPrice,MATCH($C18,CatalogNames,0)),0))</f>
        <v>1250</v>
      </c>
      <c r="H18" s="20"/>
      <c r="I18" s="21" t="n">
        <f aca="false">IF($C18="","",IF(UPPER($A18)="N",0,ROUND($F18*IF($H18="",$G18,$H18),2)))</f>
        <v>5000</v>
      </c>
    </row>
    <row r="19" customFormat="false" ht="33.75" hidden="false" customHeight="true" outlineLevel="0" collapsed="false">
      <c r="A19" s="14" t="s">
        <v>44</v>
      </c>
      <c r="B19" s="15" t="str">
        <f aca="false">IF($C19="","",IFERROR(INDEX(CatalogGroup,MATCH($C19,CatalogNames,0)),"Custom"))</f>
        <v>Travel &amp; Expenses</v>
      </c>
      <c r="C19" s="16" t="s">
        <v>59</v>
      </c>
      <c r="D19" s="17" t="str">
        <f aca="false">IF($C19="","",IFERROR(INDEX(CatalogDesc,MATCH($C19,CatalogNames,0)),""))</f>
        <v>Mileage billed per mile (Qty = miles).</v>
      </c>
      <c r="E19" s="18" t="str">
        <f aca="false">IF($C19="","",IFERROR(INDEX(CatalogUnit,MATCH($C19,CatalogNames,0)),"Unit"))</f>
        <v>Mile</v>
      </c>
      <c r="F19" s="19" t="n">
        <v>850</v>
      </c>
      <c r="G19" s="9" t="n">
        <f aca="false">IF($C19="","",IFERROR(INDEX(CatalogPrice,MATCH($C19,CatalogNames,0)),0))</f>
        <v>0.7</v>
      </c>
      <c r="H19" s="20"/>
      <c r="I19" s="21" t="n">
        <f aca="false">IF($C19="","",IF(UPPER($A19)="N",0,ROUND($F19*IF($H19="",$G19,$H19),2)))</f>
        <v>595</v>
      </c>
    </row>
    <row r="20" customFormat="false" ht="33.75" hidden="false" customHeight="true" outlineLevel="0" collapsed="false">
      <c r="A20" s="14" t="s">
        <v>44</v>
      </c>
      <c r="B20" s="15" t="str">
        <f aca="false">IF($C20="","",IFERROR(INDEX(CatalogGroup,MATCH($C20,CatalogNames,0)),"Custom"))</f>
        <v>Travel &amp; Expenses</v>
      </c>
      <c r="C20" s="16" t="s">
        <v>60</v>
      </c>
      <c r="D20" s="17" t="str">
        <f aca="false">IF($C20="","",IFERROR(INDEX(CatalogDesc,MATCH($C20,CatalogNames,0)),""))</f>
        <v>Overnight lodging (Qty = nights).</v>
      </c>
      <c r="E20" s="18" t="str">
        <f aca="false">IF($C20="","",IFERROR(INDEX(CatalogUnit,MATCH($C20,CatalogNames,0)),"Unit"))</f>
        <v>Night</v>
      </c>
      <c r="F20" s="19" t="n">
        <v>6</v>
      </c>
      <c r="G20" s="9" t="n">
        <f aca="false">IF($C20="","",IFERROR(INDEX(CatalogPrice,MATCH($C20,CatalogNames,0)),0))</f>
        <v>185</v>
      </c>
      <c r="H20" s="20"/>
      <c r="I20" s="21" t="n">
        <f aca="false">IF($C20="","",IF(UPPER($A20)="N",0,ROUND($F20*IF($H20="",$G20,$H20),2)))</f>
        <v>1110</v>
      </c>
    </row>
    <row r="21" customFormat="false" ht="33.75" hidden="false" customHeight="true" outlineLevel="0" collapsed="false">
      <c r="A21" s="14" t="s">
        <v>44</v>
      </c>
      <c r="B21" s="15" t="str">
        <f aca="false">IF($C21="","",IFERROR(INDEX(CatalogGroup,MATCH($C21,CatalogNames,0)),"Custom"))</f>
        <v>Travel &amp; Expenses</v>
      </c>
      <c r="C21" s="16" t="s">
        <v>61</v>
      </c>
      <c r="D21" s="17" t="str">
        <f aca="false">IF($C21="","",IFERROR(INDEX(CatalogDesc,MATCH($C21,CatalogNames,0)),""))</f>
        <v>Meals / incidentals (Qty = days).</v>
      </c>
      <c r="E21" s="18" t="str">
        <f aca="false">IF($C21="","",IFERROR(INDEX(CatalogUnit,MATCH($C21,CatalogNames,0)),"Unit"))</f>
        <v>Day</v>
      </c>
      <c r="F21" s="19" t="n">
        <v>6</v>
      </c>
      <c r="G21" s="9" t="n">
        <f aca="false">IF($C21="","",IFERROR(INDEX(CatalogPrice,MATCH($C21,CatalogNames,0)),0))</f>
        <v>75</v>
      </c>
      <c r="H21" s="20"/>
      <c r="I21" s="21" t="n">
        <f aca="false">IF($C21="","",IF(UPPER($A21)="N",0,ROUND($F21*IF($H21="",$G21,$H21),2)))</f>
        <v>450</v>
      </c>
    </row>
    <row r="22" customFormat="false" ht="33.75" hidden="false" customHeight="true" outlineLevel="0" collapsed="false">
      <c r="A22" s="14"/>
      <c r="B22" s="15" t="str">
        <f aca="false">IF($C22="","",IFERROR(INDEX(CatalogGroup,MATCH($C22,CatalogNames,0)),"Custom"))</f>
        <v/>
      </c>
      <c r="C22" s="16"/>
      <c r="D22" s="17" t="str">
        <f aca="false">IF($C22="","",IFERROR(INDEX(CatalogDesc,MATCH($C22,CatalogNames,0)),""))</f>
        <v/>
      </c>
      <c r="E22" s="18" t="str">
        <f aca="false">IF($C22="","",IFERROR(INDEX(CatalogUnit,MATCH($C22,CatalogNames,0)),"Unit"))</f>
        <v/>
      </c>
      <c r="F22" s="19"/>
      <c r="G22" s="9" t="str">
        <f aca="false">IF($C22="","",IFERROR(INDEX(CatalogPrice,MATCH($C22,CatalogNames,0)),0))</f>
        <v/>
      </c>
      <c r="H22" s="20"/>
      <c r="I22" s="21" t="str">
        <f aca="false">IF($C22="","",IF(UPPER($A22)="N",0,ROUND($F22*IF($H22="",$G22,$H22),2)))</f>
        <v/>
      </c>
    </row>
    <row r="23" customFormat="false" ht="33.75" hidden="false" customHeight="true" outlineLevel="0" collapsed="false">
      <c r="A23" s="14"/>
      <c r="B23" s="15" t="str">
        <f aca="false">IF($C23="","",IFERROR(INDEX(CatalogGroup,MATCH($C23,CatalogNames,0)),"Custom"))</f>
        <v/>
      </c>
      <c r="C23" s="16"/>
      <c r="D23" s="17" t="str">
        <f aca="false">IF($C23="","",IFERROR(INDEX(CatalogDesc,MATCH($C23,CatalogNames,0)),""))</f>
        <v/>
      </c>
      <c r="E23" s="18" t="str">
        <f aca="false">IF($C23="","",IFERROR(INDEX(CatalogUnit,MATCH($C23,CatalogNames,0)),"Unit"))</f>
        <v/>
      </c>
      <c r="F23" s="19"/>
      <c r="G23" s="9" t="str">
        <f aca="false">IF($C23="","",IFERROR(INDEX(CatalogPrice,MATCH($C23,CatalogNames,0)),0))</f>
        <v/>
      </c>
      <c r="H23" s="20"/>
      <c r="I23" s="21" t="str">
        <f aca="false">IF($C23="","",IF(UPPER($A23)="N",0,ROUND($F23*IF($H23="",$G23,$H23),2)))</f>
        <v/>
      </c>
    </row>
    <row r="24" customFormat="false" ht="33.75" hidden="false" customHeight="true" outlineLevel="0" collapsed="false">
      <c r="A24" s="14"/>
      <c r="B24" s="15" t="str">
        <f aca="false">IF($C24="","",IFERROR(INDEX(CatalogGroup,MATCH($C24,CatalogNames,0)),"Custom"))</f>
        <v/>
      </c>
      <c r="C24" s="16"/>
      <c r="D24" s="17" t="str">
        <f aca="false">IF($C24="","",IFERROR(INDEX(CatalogDesc,MATCH($C24,CatalogNames,0)),""))</f>
        <v/>
      </c>
      <c r="E24" s="18" t="str">
        <f aca="false">IF($C24="","",IFERROR(INDEX(CatalogUnit,MATCH($C24,CatalogNames,0)),"Unit"))</f>
        <v/>
      </c>
      <c r="F24" s="19"/>
      <c r="G24" s="9" t="str">
        <f aca="false">IF($C24="","",IFERROR(INDEX(CatalogPrice,MATCH($C24,CatalogNames,0)),0))</f>
        <v/>
      </c>
      <c r="H24" s="20"/>
      <c r="I24" s="21" t="str">
        <f aca="false">IF($C24="","",IF(UPPER($A24)="N",0,ROUND($F24*IF($H24="",$G24,$H24),2)))</f>
        <v/>
      </c>
    </row>
    <row r="25" customFormat="false" ht="33.75" hidden="false" customHeight="true" outlineLevel="0" collapsed="false">
      <c r="A25" s="14"/>
      <c r="B25" s="15" t="str">
        <f aca="false">IF($C25="","",IFERROR(INDEX(CatalogGroup,MATCH($C25,CatalogNames,0)),"Custom"))</f>
        <v/>
      </c>
      <c r="C25" s="16"/>
      <c r="D25" s="17" t="str">
        <f aca="false">IF($C25="","",IFERROR(INDEX(CatalogDesc,MATCH($C25,CatalogNames,0)),""))</f>
        <v/>
      </c>
      <c r="E25" s="18" t="str">
        <f aca="false">IF($C25="","",IFERROR(INDEX(CatalogUnit,MATCH($C25,CatalogNames,0)),"Unit"))</f>
        <v/>
      </c>
      <c r="F25" s="19"/>
      <c r="G25" s="9" t="str">
        <f aca="false">IF($C25="","",IFERROR(INDEX(CatalogPrice,MATCH($C25,CatalogNames,0)),0))</f>
        <v/>
      </c>
      <c r="H25" s="20"/>
      <c r="I25" s="21" t="str">
        <f aca="false">IF($C25="","",IF(UPPER($A25)="N",0,ROUND($F25*IF($H25="",$G25,$H25),2)))</f>
        <v/>
      </c>
    </row>
    <row r="26" customFormat="false" ht="33.75" hidden="false" customHeight="true" outlineLevel="0" collapsed="false">
      <c r="A26" s="14"/>
      <c r="B26" s="15" t="str">
        <f aca="false">IF($C26="","",IFERROR(INDEX(CatalogGroup,MATCH($C26,CatalogNames,0)),"Custom"))</f>
        <v/>
      </c>
      <c r="C26" s="16"/>
      <c r="D26" s="17" t="str">
        <f aca="false">IF($C26="","",IFERROR(INDEX(CatalogDesc,MATCH($C26,CatalogNames,0)),""))</f>
        <v/>
      </c>
      <c r="E26" s="18" t="str">
        <f aca="false">IF($C26="","",IFERROR(INDEX(CatalogUnit,MATCH($C26,CatalogNames,0)),"Unit"))</f>
        <v/>
      </c>
      <c r="F26" s="19"/>
      <c r="G26" s="9" t="str">
        <f aca="false">IF($C26="","",IFERROR(INDEX(CatalogPrice,MATCH($C26,CatalogNames,0)),0))</f>
        <v/>
      </c>
      <c r="H26" s="20"/>
      <c r="I26" s="21" t="str">
        <f aca="false">IF($C26="","",IF(UPPER($A26)="N",0,ROUND($F26*IF($H26="",$G26,$H26),2)))</f>
        <v/>
      </c>
    </row>
    <row r="27" customFormat="false" ht="33.75" hidden="false" customHeight="true" outlineLevel="0" collapsed="false">
      <c r="A27" s="14"/>
      <c r="B27" s="15" t="str">
        <f aca="false">IF($C27="","",IFERROR(INDEX(CatalogGroup,MATCH($C27,CatalogNames,0)),"Custom"))</f>
        <v/>
      </c>
      <c r="C27" s="16"/>
      <c r="D27" s="17" t="str">
        <f aca="false">IF($C27="","",IFERROR(INDEX(CatalogDesc,MATCH($C27,CatalogNames,0)),""))</f>
        <v/>
      </c>
      <c r="E27" s="18" t="str">
        <f aca="false">IF($C27="","",IFERROR(INDEX(CatalogUnit,MATCH($C27,CatalogNames,0)),"Unit"))</f>
        <v/>
      </c>
      <c r="F27" s="19"/>
      <c r="G27" s="9" t="str">
        <f aca="false">IF($C27="","",IFERROR(INDEX(CatalogPrice,MATCH($C27,CatalogNames,0)),0))</f>
        <v/>
      </c>
      <c r="H27" s="20"/>
      <c r="I27" s="21" t="str">
        <f aca="false">IF($C27="","",IF(UPPER($A27)="N",0,ROUND($F27*IF($H27="",$G27,$H27),2)))</f>
        <v/>
      </c>
    </row>
    <row r="28" customFormat="false" ht="33.75" hidden="false" customHeight="true" outlineLevel="0" collapsed="false">
      <c r="A28" s="14"/>
      <c r="B28" s="15" t="str">
        <f aca="false">IF($C28="","",IFERROR(INDEX(CatalogGroup,MATCH($C28,CatalogNames,0)),"Custom"))</f>
        <v/>
      </c>
      <c r="C28" s="16"/>
      <c r="D28" s="17" t="str">
        <f aca="false">IF($C28="","",IFERROR(INDEX(CatalogDesc,MATCH($C28,CatalogNames,0)),""))</f>
        <v/>
      </c>
      <c r="E28" s="18" t="str">
        <f aca="false">IF($C28="","",IFERROR(INDEX(CatalogUnit,MATCH($C28,CatalogNames,0)),"Unit"))</f>
        <v/>
      </c>
      <c r="F28" s="19"/>
      <c r="G28" s="9" t="str">
        <f aca="false">IF($C28="","",IFERROR(INDEX(CatalogPrice,MATCH($C28,CatalogNames,0)),0))</f>
        <v/>
      </c>
      <c r="H28" s="20"/>
      <c r="I28" s="21" t="str">
        <f aca="false">IF($C28="","",IF(UPPER($A28)="N",0,ROUND($F28*IF($H28="",$G28,$H28),2)))</f>
        <v/>
      </c>
    </row>
    <row r="29" customFormat="false" ht="33.75" hidden="false" customHeight="true" outlineLevel="0" collapsed="false">
      <c r="A29" s="14"/>
      <c r="B29" s="15" t="str">
        <f aca="false">IF($C29="","",IFERROR(INDEX(CatalogGroup,MATCH($C29,CatalogNames,0)),"Custom"))</f>
        <v/>
      </c>
      <c r="C29" s="16"/>
      <c r="D29" s="17" t="str">
        <f aca="false">IF($C29="","",IFERROR(INDEX(CatalogDesc,MATCH($C29,CatalogNames,0)),""))</f>
        <v/>
      </c>
      <c r="E29" s="18" t="str">
        <f aca="false">IF($C29="","",IFERROR(INDEX(CatalogUnit,MATCH($C29,CatalogNames,0)),"Unit"))</f>
        <v/>
      </c>
      <c r="F29" s="19"/>
      <c r="G29" s="9" t="str">
        <f aca="false">IF($C29="","",IFERROR(INDEX(CatalogPrice,MATCH($C29,CatalogNames,0)),0))</f>
        <v/>
      </c>
      <c r="H29" s="20"/>
      <c r="I29" s="21" t="str">
        <f aca="false">IF($C29="","",IF(UPPER($A29)="N",0,ROUND($F29*IF($H29="",$G29,$H29),2)))</f>
        <v/>
      </c>
    </row>
    <row r="30" customFormat="false" ht="33.75" hidden="false" customHeight="true" outlineLevel="0" collapsed="false">
      <c r="A30" s="14"/>
      <c r="B30" s="15" t="str">
        <f aca="false">IF($C30="","",IFERROR(INDEX(CatalogGroup,MATCH($C30,CatalogNames,0)),"Custom"))</f>
        <v/>
      </c>
      <c r="C30" s="16"/>
      <c r="D30" s="17" t="str">
        <f aca="false">IF($C30="","",IFERROR(INDEX(CatalogDesc,MATCH($C30,CatalogNames,0)),""))</f>
        <v/>
      </c>
      <c r="E30" s="18" t="str">
        <f aca="false">IF($C30="","",IFERROR(INDEX(CatalogUnit,MATCH($C30,CatalogNames,0)),"Unit"))</f>
        <v/>
      </c>
      <c r="F30" s="19"/>
      <c r="G30" s="9" t="str">
        <f aca="false">IF($C30="","",IFERROR(INDEX(CatalogPrice,MATCH($C30,CatalogNames,0)),0))</f>
        <v/>
      </c>
      <c r="H30" s="20"/>
      <c r="I30" s="21" t="str">
        <f aca="false">IF($C30="","",IF(UPPER($A30)="N",0,ROUND($F30*IF($H30="",$G30,$H30),2)))</f>
        <v/>
      </c>
    </row>
    <row r="31" customFormat="false" ht="33.75" hidden="false" customHeight="true" outlineLevel="0" collapsed="false">
      <c r="A31" s="14"/>
      <c r="B31" s="15" t="str">
        <f aca="false">IF($C31="","",IFERROR(INDEX(CatalogGroup,MATCH($C31,CatalogNames,0)),"Custom"))</f>
        <v/>
      </c>
      <c r="C31" s="16"/>
      <c r="D31" s="17" t="str">
        <f aca="false">IF($C31="","",IFERROR(INDEX(CatalogDesc,MATCH($C31,CatalogNames,0)),""))</f>
        <v/>
      </c>
      <c r="E31" s="18" t="str">
        <f aca="false">IF($C31="","",IFERROR(INDEX(CatalogUnit,MATCH($C31,CatalogNames,0)),"Unit"))</f>
        <v/>
      </c>
      <c r="F31" s="19"/>
      <c r="G31" s="9" t="str">
        <f aca="false">IF($C31="","",IFERROR(INDEX(CatalogPrice,MATCH($C31,CatalogNames,0)),0))</f>
        <v/>
      </c>
      <c r="H31" s="20"/>
      <c r="I31" s="21" t="str">
        <f aca="false">IF($C31="","",IF(UPPER($A31)="N",0,ROUND($F31*IF($H31="",$G31,$H31),2)))</f>
        <v/>
      </c>
    </row>
    <row r="32" customFormat="false" ht="33.75" hidden="false" customHeight="true" outlineLevel="0" collapsed="false">
      <c r="A32" s="14"/>
      <c r="B32" s="15" t="str">
        <f aca="false">IF($C32="","",IFERROR(INDEX(CatalogGroup,MATCH($C32,CatalogNames,0)),"Custom"))</f>
        <v/>
      </c>
      <c r="C32" s="16"/>
      <c r="D32" s="17" t="str">
        <f aca="false">IF($C32="","",IFERROR(INDEX(CatalogDesc,MATCH($C32,CatalogNames,0)),""))</f>
        <v/>
      </c>
      <c r="E32" s="18" t="str">
        <f aca="false">IF($C32="","",IFERROR(INDEX(CatalogUnit,MATCH($C32,CatalogNames,0)),"Unit"))</f>
        <v/>
      </c>
      <c r="F32" s="19"/>
      <c r="G32" s="9" t="str">
        <f aca="false">IF($C32="","",IFERROR(INDEX(CatalogPrice,MATCH($C32,CatalogNames,0)),0))</f>
        <v/>
      </c>
      <c r="H32" s="20"/>
      <c r="I32" s="21" t="str">
        <f aca="false">IF($C32="","",IF(UPPER($A32)="N",0,ROUND($F32*IF($H32="",$G32,$H32),2)))</f>
        <v/>
      </c>
    </row>
    <row r="33" customFormat="false" ht="33.75" hidden="false" customHeight="true" outlineLevel="0" collapsed="false">
      <c r="A33" s="14"/>
      <c r="B33" s="15" t="str">
        <f aca="false">IF($C33="","",IFERROR(INDEX(CatalogGroup,MATCH($C33,CatalogNames,0)),"Custom"))</f>
        <v/>
      </c>
      <c r="C33" s="16"/>
      <c r="D33" s="17" t="str">
        <f aca="false">IF($C33="","",IFERROR(INDEX(CatalogDesc,MATCH($C33,CatalogNames,0)),""))</f>
        <v/>
      </c>
      <c r="E33" s="18" t="str">
        <f aca="false">IF($C33="","",IFERROR(INDEX(CatalogUnit,MATCH($C33,CatalogNames,0)),"Unit"))</f>
        <v/>
      </c>
      <c r="F33" s="19"/>
      <c r="G33" s="9" t="str">
        <f aca="false">IF($C33="","",IFERROR(INDEX(CatalogPrice,MATCH($C33,CatalogNames,0)),0))</f>
        <v/>
      </c>
      <c r="H33" s="20"/>
      <c r="I33" s="21" t="str">
        <f aca="false">IF($C33="","",IF(UPPER($A33)="N",0,ROUND($F33*IF($H33="",$G33,$H33),2)))</f>
        <v/>
      </c>
    </row>
    <row r="34" customFormat="false" ht="33.75" hidden="false" customHeight="true" outlineLevel="0" collapsed="false">
      <c r="A34" s="14"/>
      <c r="B34" s="15" t="str">
        <f aca="false">IF($C34="","",IFERROR(INDEX(CatalogGroup,MATCH($C34,CatalogNames,0)),"Custom"))</f>
        <v/>
      </c>
      <c r="C34" s="16"/>
      <c r="D34" s="17" t="str">
        <f aca="false">IF($C34="","",IFERROR(INDEX(CatalogDesc,MATCH($C34,CatalogNames,0)),""))</f>
        <v/>
      </c>
      <c r="E34" s="18" t="str">
        <f aca="false">IF($C34="","",IFERROR(INDEX(CatalogUnit,MATCH($C34,CatalogNames,0)),"Unit"))</f>
        <v/>
      </c>
      <c r="F34" s="19"/>
      <c r="G34" s="9" t="str">
        <f aca="false">IF($C34="","",IFERROR(INDEX(CatalogPrice,MATCH($C34,CatalogNames,0)),0))</f>
        <v/>
      </c>
      <c r="H34" s="20"/>
      <c r="I34" s="21" t="str">
        <f aca="false">IF($C34="","",IF(UPPER($A34)="N",0,ROUND($F34*IF($H34="",$G34,$H34),2)))</f>
        <v/>
      </c>
    </row>
    <row r="35" customFormat="false" ht="33.75" hidden="false" customHeight="true" outlineLevel="0" collapsed="false">
      <c r="A35" s="14"/>
      <c r="B35" s="15" t="str">
        <f aca="false">IF($C35="","",IFERROR(INDEX(CatalogGroup,MATCH($C35,CatalogNames,0)),"Custom"))</f>
        <v/>
      </c>
      <c r="C35" s="16"/>
      <c r="D35" s="17" t="str">
        <f aca="false">IF($C35="","",IFERROR(INDEX(CatalogDesc,MATCH($C35,CatalogNames,0)),""))</f>
        <v/>
      </c>
      <c r="E35" s="18" t="str">
        <f aca="false">IF($C35="","",IFERROR(INDEX(CatalogUnit,MATCH($C35,CatalogNames,0)),"Unit"))</f>
        <v/>
      </c>
      <c r="F35" s="19"/>
      <c r="G35" s="9" t="str">
        <f aca="false">IF($C35="","",IFERROR(INDEX(CatalogPrice,MATCH($C35,CatalogNames,0)),0))</f>
        <v/>
      </c>
      <c r="H35" s="20"/>
      <c r="I35" s="21" t="str">
        <f aca="false">IF($C35="","",IF(UPPER($A35)="N",0,ROUND($F35*IF($H35="",$G35,$H35),2)))</f>
        <v/>
      </c>
    </row>
    <row r="36" customFormat="false" ht="33.75" hidden="false" customHeight="true" outlineLevel="0" collapsed="false">
      <c r="A36" s="14"/>
      <c r="B36" s="15" t="str">
        <f aca="false">IF($C36="","",IFERROR(INDEX(CatalogGroup,MATCH($C36,CatalogNames,0)),"Custom"))</f>
        <v/>
      </c>
      <c r="C36" s="16"/>
      <c r="D36" s="17" t="str">
        <f aca="false">IF($C36="","",IFERROR(INDEX(CatalogDesc,MATCH($C36,CatalogNames,0)),""))</f>
        <v/>
      </c>
      <c r="E36" s="18" t="str">
        <f aca="false">IF($C36="","",IFERROR(INDEX(CatalogUnit,MATCH($C36,CatalogNames,0)),"Unit"))</f>
        <v/>
      </c>
      <c r="F36" s="19"/>
      <c r="G36" s="9" t="str">
        <f aca="false">IF($C36="","",IFERROR(INDEX(CatalogPrice,MATCH($C36,CatalogNames,0)),0))</f>
        <v/>
      </c>
      <c r="H36" s="20"/>
      <c r="I36" s="21" t="str">
        <f aca="false">IF($C36="","",IF(UPPER($A36)="N",0,ROUND($F36*IF($H36="",$G36,$H36),2)))</f>
        <v/>
      </c>
    </row>
    <row r="37" customFormat="false" ht="33.75" hidden="false" customHeight="true" outlineLevel="0" collapsed="false">
      <c r="A37" s="14"/>
      <c r="B37" s="15" t="str">
        <f aca="false">IF($C37="","",IFERROR(INDEX(CatalogGroup,MATCH($C37,CatalogNames,0)),"Custom"))</f>
        <v/>
      </c>
      <c r="C37" s="16"/>
      <c r="D37" s="17" t="str">
        <f aca="false">IF($C37="","",IFERROR(INDEX(CatalogDesc,MATCH($C37,CatalogNames,0)),""))</f>
        <v/>
      </c>
      <c r="E37" s="18" t="str">
        <f aca="false">IF($C37="","",IFERROR(INDEX(CatalogUnit,MATCH($C37,CatalogNames,0)),"Unit"))</f>
        <v/>
      </c>
      <c r="F37" s="19"/>
      <c r="G37" s="9" t="str">
        <f aca="false">IF($C37="","",IFERROR(INDEX(CatalogPrice,MATCH($C37,CatalogNames,0)),0))</f>
        <v/>
      </c>
      <c r="H37" s="20"/>
      <c r="I37" s="21" t="str">
        <f aca="false">IF($C37="","",IF(UPPER($A37)="N",0,ROUND($F37*IF($H37="",$G37,$H37),2)))</f>
        <v/>
      </c>
    </row>
    <row r="38" customFormat="false" ht="33.75" hidden="false" customHeight="true" outlineLevel="0" collapsed="false">
      <c r="A38" s="14"/>
      <c r="B38" s="15" t="str">
        <f aca="false">IF($C38="","",IFERROR(INDEX(CatalogGroup,MATCH($C38,CatalogNames,0)),"Custom"))</f>
        <v/>
      </c>
      <c r="C38" s="16"/>
      <c r="D38" s="17" t="str">
        <f aca="false">IF($C38="","",IFERROR(INDEX(CatalogDesc,MATCH($C38,CatalogNames,0)),""))</f>
        <v/>
      </c>
      <c r="E38" s="18" t="str">
        <f aca="false">IF($C38="","",IFERROR(INDEX(CatalogUnit,MATCH($C38,CatalogNames,0)),"Unit"))</f>
        <v/>
      </c>
      <c r="F38" s="19"/>
      <c r="G38" s="9" t="str">
        <f aca="false">IF($C38="","",IFERROR(INDEX(CatalogPrice,MATCH($C38,CatalogNames,0)),0))</f>
        <v/>
      </c>
      <c r="H38" s="20"/>
      <c r="I38" s="21" t="str">
        <f aca="false">IF($C38="","",IF(UPPER($A38)="N",0,ROUND($F38*IF($H38="",$G38,$H38),2)))</f>
        <v/>
      </c>
    </row>
    <row r="39" customFormat="false" ht="33.75" hidden="false" customHeight="true" outlineLevel="0" collapsed="false">
      <c r="A39" s="14"/>
      <c r="B39" s="15" t="str">
        <f aca="false">IF($C39="","",IFERROR(INDEX(CatalogGroup,MATCH($C39,CatalogNames,0)),"Custom"))</f>
        <v/>
      </c>
      <c r="C39" s="16"/>
      <c r="D39" s="17" t="str">
        <f aca="false">IF($C39="","",IFERROR(INDEX(CatalogDesc,MATCH($C39,CatalogNames,0)),""))</f>
        <v/>
      </c>
      <c r="E39" s="18" t="str">
        <f aca="false">IF($C39="","",IFERROR(INDEX(CatalogUnit,MATCH($C39,CatalogNames,0)),"Unit"))</f>
        <v/>
      </c>
      <c r="F39" s="19"/>
      <c r="G39" s="9" t="str">
        <f aca="false">IF($C39="","",IFERROR(INDEX(CatalogPrice,MATCH($C39,CatalogNames,0)),0))</f>
        <v/>
      </c>
      <c r="H39" s="20"/>
      <c r="I39" s="21" t="str">
        <f aca="false">IF($C39="","",IF(UPPER($A39)="N",0,ROUND($F39*IF($H39="",$G39,$H39),2)))</f>
        <v/>
      </c>
    </row>
    <row r="40" customFormat="false" ht="33.75" hidden="false" customHeight="true" outlineLevel="0" collapsed="false">
      <c r="A40" s="14"/>
      <c r="B40" s="15" t="str">
        <f aca="false">IF($C40="","",IFERROR(INDEX(CatalogGroup,MATCH($C40,CatalogNames,0)),"Custom"))</f>
        <v/>
      </c>
      <c r="C40" s="16"/>
      <c r="D40" s="17" t="str">
        <f aca="false">IF($C40="","",IFERROR(INDEX(CatalogDesc,MATCH($C40,CatalogNames,0)),""))</f>
        <v/>
      </c>
      <c r="E40" s="18" t="str">
        <f aca="false">IF($C40="","",IFERROR(INDEX(CatalogUnit,MATCH($C40,CatalogNames,0)),"Unit"))</f>
        <v/>
      </c>
      <c r="F40" s="19"/>
      <c r="G40" s="9" t="str">
        <f aca="false">IF($C40="","",IFERROR(INDEX(CatalogPrice,MATCH($C40,CatalogNames,0)),0))</f>
        <v/>
      </c>
      <c r="H40" s="20"/>
      <c r="I40" s="21" t="str">
        <f aca="false">IF($C40="","",IF(UPPER($A40)="N",0,ROUND($F40*IF($H40="",$G40,$H40),2)))</f>
        <v/>
      </c>
    </row>
    <row r="41" customFormat="false" ht="33.75" hidden="false" customHeight="true" outlineLevel="0" collapsed="false">
      <c r="A41" s="14"/>
      <c r="B41" s="15" t="str">
        <f aca="false">IF($C41="","",IFERROR(INDEX(CatalogGroup,MATCH($C41,CatalogNames,0)),"Custom"))</f>
        <v/>
      </c>
      <c r="C41" s="16"/>
      <c r="D41" s="17" t="str">
        <f aca="false">IF($C41="","",IFERROR(INDEX(CatalogDesc,MATCH($C41,CatalogNames,0)),""))</f>
        <v/>
      </c>
      <c r="E41" s="18" t="str">
        <f aca="false">IF($C41="","",IFERROR(INDEX(CatalogUnit,MATCH($C41,CatalogNames,0)),"Unit"))</f>
        <v/>
      </c>
      <c r="F41" s="19"/>
      <c r="G41" s="9" t="str">
        <f aca="false">IF($C41="","",IFERROR(INDEX(CatalogPrice,MATCH($C41,CatalogNames,0)),0))</f>
        <v/>
      </c>
      <c r="H41" s="20"/>
      <c r="I41" s="21" t="str">
        <f aca="false">IF($C41="","",IF(UPPER($A41)="N",0,ROUND($F41*IF($H41="",$G41,$H41),2)))</f>
        <v/>
      </c>
    </row>
    <row r="42" customFormat="false" ht="33.75" hidden="false" customHeight="true" outlineLevel="0" collapsed="false">
      <c r="A42" s="14"/>
      <c r="B42" s="15" t="str">
        <f aca="false">IF($C42="","",IFERROR(INDEX(CatalogGroup,MATCH($C42,CatalogNames,0)),"Custom"))</f>
        <v/>
      </c>
      <c r="C42" s="16"/>
      <c r="D42" s="17" t="str">
        <f aca="false">IF($C42="","",IFERROR(INDEX(CatalogDesc,MATCH($C42,CatalogNames,0)),""))</f>
        <v/>
      </c>
      <c r="E42" s="18" t="str">
        <f aca="false">IF($C42="","",IFERROR(INDEX(CatalogUnit,MATCH($C42,CatalogNames,0)),"Unit"))</f>
        <v/>
      </c>
      <c r="F42" s="19"/>
      <c r="G42" s="9" t="str">
        <f aca="false">IF($C42="","",IFERROR(INDEX(CatalogPrice,MATCH($C42,CatalogNames,0)),0))</f>
        <v/>
      </c>
      <c r="H42" s="20"/>
      <c r="I42" s="21" t="str">
        <f aca="false">IF($C42="","",IF(UPPER($A42)="N",0,ROUND($F42*IF($H42="",$G42,$H42),2)))</f>
        <v/>
      </c>
    </row>
    <row r="43" customFormat="false" ht="33.75" hidden="false" customHeight="true" outlineLevel="0" collapsed="false">
      <c r="A43" s="14"/>
      <c r="B43" s="15" t="str">
        <f aca="false">IF($C43="","",IFERROR(INDEX(CatalogGroup,MATCH($C43,CatalogNames,0)),"Custom"))</f>
        <v/>
      </c>
      <c r="C43" s="16"/>
      <c r="D43" s="17" t="str">
        <f aca="false">IF($C43="","",IFERROR(INDEX(CatalogDesc,MATCH($C43,CatalogNames,0)),""))</f>
        <v/>
      </c>
      <c r="E43" s="18" t="str">
        <f aca="false">IF($C43="","",IFERROR(INDEX(CatalogUnit,MATCH($C43,CatalogNames,0)),"Unit"))</f>
        <v/>
      </c>
      <c r="F43" s="19"/>
      <c r="G43" s="9" t="str">
        <f aca="false">IF($C43="","",IFERROR(INDEX(CatalogPrice,MATCH($C43,CatalogNames,0)),0))</f>
        <v/>
      </c>
      <c r="H43" s="20"/>
      <c r="I43" s="21" t="str">
        <f aca="false">IF($C43="","",IF(UPPER($A43)="N",0,ROUND($F43*IF($H43="",$G43,$H43),2)))</f>
        <v/>
      </c>
    </row>
    <row r="44" customFormat="false" ht="33.75" hidden="false" customHeight="true" outlineLevel="0" collapsed="false">
      <c r="A44" s="14"/>
      <c r="B44" s="15" t="str">
        <f aca="false">IF($C44="","",IFERROR(INDEX(CatalogGroup,MATCH($C44,CatalogNames,0)),"Custom"))</f>
        <v/>
      </c>
      <c r="C44" s="16"/>
      <c r="D44" s="17" t="str">
        <f aca="false">IF($C44="","",IFERROR(INDEX(CatalogDesc,MATCH($C44,CatalogNames,0)),""))</f>
        <v/>
      </c>
      <c r="E44" s="18" t="str">
        <f aca="false">IF($C44="","",IFERROR(INDEX(CatalogUnit,MATCH($C44,CatalogNames,0)),"Unit"))</f>
        <v/>
      </c>
      <c r="F44" s="19"/>
      <c r="G44" s="9" t="str">
        <f aca="false">IF($C44="","",IFERROR(INDEX(CatalogPrice,MATCH($C44,CatalogNames,0)),0))</f>
        <v/>
      </c>
      <c r="H44" s="20"/>
      <c r="I44" s="21" t="str">
        <f aca="false">IF($C44="","",IF(UPPER($A44)="N",0,ROUND($F44*IF($H44="",$G44,$H44),2)))</f>
        <v/>
      </c>
    </row>
    <row r="45" customFormat="false" ht="33.75" hidden="false" customHeight="true" outlineLevel="0" collapsed="false">
      <c r="A45" s="14"/>
      <c r="B45" s="15" t="str">
        <f aca="false">IF($C45="","",IFERROR(INDEX(CatalogGroup,MATCH($C45,CatalogNames,0)),"Custom"))</f>
        <v/>
      </c>
      <c r="C45" s="16"/>
      <c r="D45" s="17" t="str">
        <f aca="false">IF($C45="","",IFERROR(INDEX(CatalogDesc,MATCH($C45,CatalogNames,0)),""))</f>
        <v/>
      </c>
      <c r="E45" s="18" t="str">
        <f aca="false">IF($C45="","",IFERROR(INDEX(CatalogUnit,MATCH($C45,CatalogNames,0)),"Unit"))</f>
        <v/>
      </c>
      <c r="F45" s="19"/>
      <c r="G45" s="9" t="str">
        <f aca="false">IF($C45="","",IFERROR(INDEX(CatalogPrice,MATCH($C45,CatalogNames,0)),0))</f>
        <v/>
      </c>
      <c r="H45" s="20"/>
      <c r="I45" s="21" t="str">
        <f aca="false">IF($C45="","",IF(UPPER($A45)="N",0,ROUND($F45*IF($H45="",$G45,$H45),2)))</f>
        <v/>
      </c>
    </row>
    <row r="46" customFormat="false" ht="33.75" hidden="false" customHeight="true" outlineLevel="0" collapsed="false">
      <c r="A46" s="14"/>
      <c r="B46" s="15" t="str">
        <f aca="false">IF($C46="","",IFERROR(INDEX(CatalogGroup,MATCH($C46,CatalogNames,0)),"Custom"))</f>
        <v/>
      </c>
      <c r="C46" s="16"/>
      <c r="D46" s="17" t="str">
        <f aca="false">IF($C46="","",IFERROR(INDEX(CatalogDesc,MATCH($C46,CatalogNames,0)),""))</f>
        <v/>
      </c>
      <c r="E46" s="18" t="str">
        <f aca="false">IF($C46="","",IFERROR(INDEX(CatalogUnit,MATCH($C46,CatalogNames,0)),"Unit"))</f>
        <v/>
      </c>
      <c r="F46" s="19"/>
      <c r="G46" s="9" t="str">
        <f aca="false">IF($C46="","",IFERROR(INDEX(CatalogPrice,MATCH($C46,CatalogNames,0)),0))</f>
        <v/>
      </c>
      <c r="H46" s="20"/>
      <c r="I46" s="21" t="str">
        <f aca="false">IF($C46="","",IF(UPPER($A46)="N",0,ROUND($F46*IF($H46="",$G46,$H46),2)))</f>
        <v/>
      </c>
    </row>
    <row r="47" customFormat="false" ht="33.75" hidden="false" customHeight="true" outlineLevel="0" collapsed="false">
      <c r="A47" s="14"/>
      <c r="B47" s="15" t="str">
        <f aca="false">IF($C47="","",IFERROR(INDEX(CatalogGroup,MATCH($C47,CatalogNames,0)),"Custom"))</f>
        <v/>
      </c>
      <c r="C47" s="16"/>
      <c r="D47" s="17" t="str">
        <f aca="false">IF($C47="","",IFERROR(INDEX(CatalogDesc,MATCH($C47,CatalogNames,0)),""))</f>
        <v/>
      </c>
      <c r="E47" s="18" t="str">
        <f aca="false">IF($C47="","",IFERROR(INDEX(CatalogUnit,MATCH($C47,CatalogNames,0)),"Unit"))</f>
        <v/>
      </c>
      <c r="F47" s="19"/>
      <c r="G47" s="9" t="str">
        <f aca="false">IF($C47="","",IFERROR(INDEX(CatalogPrice,MATCH($C47,CatalogNames,0)),0))</f>
        <v/>
      </c>
      <c r="H47" s="20"/>
      <c r="I47" s="21" t="str">
        <f aca="false">IF($C47="","",IF(UPPER($A47)="N",0,ROUND($F47*IF($H47="",$G47,$H47),2)))</f>
        <v/>
      </c>
    </row>
    <row r="48" customFormat="false" ht="33.75" hidden="false" customHeight="true" outlineLevel="0" collapsed="false">
      <c r="A48" s="14"/>
      <c r="B48" s="15" t="str">
        <f aca="false">IF($C48="","",IFERROR(INDEX(CatalogGroup,MATCH($C48,CatalogNames,0)),"Custom"))</f>
        <v/>
      </c>
      <c r="C48" s="16"/>
      <c r="D48" s="17" t="str">
        <f aca="false">IF($C48="","",IFERROR(INDEX(CatalogDesc,MATCH($C48,CatalogNames,0)),""))</f>
        <v/>
      </c>
      <c r="E48" s="18" t="str">
        <f aca="false">IF($C48="","",IFERROR(INDEX(CatalogUnit,MATCH($C48,CatalogNames,0)),"Unit"))</f>
        <v/>
      </c>
      <c r="F48" s="19"/>
      <c r="G48" s="9" t="str">
        <f aca="false">IF($C48="","",IFERROR(INDEX(CatalogPrice,MATCH($C48,CatalogNames,0)),0))</f>
        <v/>
      </c>
      <c r="H48" s="20"/>
      <c r="I48" s="21" t="str">
        <f aca="false">IF($C48="","",IF(UPPER($A48)="N",0,ROUND($F48*IF($H48="",$G48,$H48),2)))</f>
        <v/>
      </c>
    </row>
    <row r="49" customFormat="false" ht="33.75" hidden="false" customHeight="true" outlineLevel="0" collapsed="false">
      <c r="A49" s="14"/>
      <c r="B49" s="15" t="str">
        <f aca="false">IF($C49="","",IFERROR(INDEX(CatalogGroup,MATCH($C49,CatalogNames,0)),"Custom"))</f>
        <v/>
      </c>
      <c r="C49" s="16"/>
      <c r="D49" s="17" t="str">
        <f aca="false">IF($C49="","",IFERROR(INDEX(CatalogDesc,MATCH($C49,CatalogNames,0)),""))</f>
        <v/>
      </c>
      <c r="E49" s="18" t="str">
        <f aca="false">IF($C49="","",IFERROR(INDEX(CatalogUnit,MATCH($C49,CatalogNames,0)),"Unit"))</f>
        <v/>
      </c>
      <c r="F49" s="19"/>
      <c r="G49" s="9" t="str">
        <f aca="false">IF($C49="","",IFERROR(INDEX(CatalogPrice,MATCH($C49,CatalogNames,0)),0))</f>
        <v/>
      </c>
      <c r="H49" s="20"/>
      <c r="I49" s="21" t="str">
        <f aca="false">IF($C49="","",IF(UPPER($A49)="N",0,ROUND($F49*IF($H49="",$G49,$H49),2)))</f>
        <v/>
      </c>
    </row>
    <row r="50" customFormat="false" ht="33.75" hidden="false" customHeight="true" outlineLevel="0" collapsed="false">
      <c r="A50" s="14"/>
      <c r="B50" s="15" t="str">
        <f aca="false">IF($C50="","",IFERROR(INDEX(CatalogGroup,MATCH($C50,CatalogNames,0)),"Custom"))</f>
        <v/>
      </c>
      <c r="C50" s="16"/>
      <c r="D50" s="17" t="str">
        <f aca="false">IF($C50="","",IFERROR(INDEX(CatalogDesc,MATCH($C50,CatalogNames,0)),""))</f>
        <v/>
      </c>
      <c r="E50" s="18" t="str">
        <f aca="false">IF($C50="","",IFERROR(INDEX(CatalogUnit,MATCH($C50,CatalogNames,0)),"Unit"))</f>
        <v/>
      </c>
      <c r="F50" s="19"/>
      <c r="G50" s="9" t="str">
        <f aca="false">IF($C50="","",IFERROR(INDEX(CatalogPrice,MATCH($C50,CatalogNames,0)),0))</f>
        <v/>
      </c>
      <c r="H50" s="20"/>
      <c r="I50" s="21" t="str">
        <f aca="false">IF($C50="","",IF(UPPER($A50)="N",0,ROUND($F50*IF($H50="",$G50,$H50),2)))</f>
        <v/>
      </c>
    </row>
    <row r="52" customFormat="false" ht="15" hidden="false" customHeight="false" outlineLevel="0" collapsed="false">
      <c r="G52" s="22" t="s">
        <v>21</v>
      </c>
      <c r="I52" s="23" t="n">
        <f aca="false">ROUND(SUM($I$6:$I$50),2)</f>
        <v>161815</v>
      </c>
    </row>
    <row r="54" customFormat="false" ht="15" hidden="false" customHeight="false" outlineLevel="0" collapsed="false">
      <c r="A54" s="2" t="s">
        <v>62</v>
      </c>
    </row>
  </sheetData>
  <dataValidations count="2">
    <dataValidation allowBlank="true" error="Enter Y to include this line in the total, or N to price it at zero." errorStyle="stop" operator="between" showDropDown="false" showErrorMessage="false" showInputMessage="false" sqref="A6:A50" type="list">
      <formula1>"Y,N"</formula1>
      <formula2>0</formula2>
    </dataValidation>
    <dataValidation allowBlank="true" error="Pick a line from the Price Book, or type a custom name and set the Agreed Price yourself." errorStyle="warning" operator="between" prompt="Pick from the price book, or type your own and fill in Agreed Price." promptTitle="Line item" showDropDown="false" showErrorMessage="false" showInputMessage="false" sqref="C6:C50" type="list">
      <formula1>CatalogNames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34"/>
    <col collapsed="false" customWidth="true" hidden="false" outlineLevel="0" max="5" min="4" style="0" width="60"/>
    <col collapsed="false" customWidth="true" hidden="false" outlineLevel="0" max="6" min="6" style="0" width="11"/>
    <col collapsed="false" customWidth="true" hidden="false" outlineLevel="0" max="8" min="7" style="0" width="13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64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</row>
    <row r="5" customFormat="false" ht="30" hidden="false" customHeight="true" outlineLevel="0" collapsed="false">
      <c r="A5" s="13" t="s">
        <v>65</v>
      </c>
      <c r="B5" s="13" t="s">
        <v>66</v>
      </c>
      <c r="C5" s="13" t="s">
        <v>67</v>
      </c>
      <c r="D5" s="13" t="s">
        <v>68</v>
      </c>
      <c r="E5" s="13" t="s">
        <v>69</v>
      </c>
      <c r="F5" s="13" t="s">
        <v>70</v>
      </c>
      <c r="G5" s="13" t="s">
        <v>71</v>
      </c>
      <c r="H5" s="13" t="s">
        <v>72</v>
      </c>
      <c r="I5" s="13" t="s">
        <v>73</v>
      </c>
    </row>
    <row r="6" customFormat="false" ht="45.75" hidden="false" customHeight="true" outlineLevel="0" collapsed="false">
      <c r="A6" s="24" t="n">
        <f aca="false">IF($C6="","",COUNTA($C$6:$C6))</f>
        <v>1</v>
      </c>
      <c r="B6" s="16" t="s">
        <v>46</v>
      </c>
      <c r="C6" s="16" t="s">
        <v>74</v>
      </c>
      <c r="D6" s="16" t="s">
        <v>75</v>
      </c>
      <c r="E6" s="16" t="s">
        <v>76</v>
      </c>
      <c r="F6" s="25" t="s">
        <v>77</v>
      </c>
      <c r="G6" s="25"/>
      <c r="H6" s="25" t="s">
        <v>78</v>
      </c>
      <c r="I6" s="16"/>
    </row>
    <row r="7" customFormat="false" ht="45.75" hidden="false" customHeight="true" outlineLevel="0" collapsed="false">
      <c r="A7" s="26" t="n">
        <f aca="false">IF($C7="","",COUNTA($C$6:$C7))</f>
        <v>2</v>
      </c>
      <c r="B7" s="27" t="s">
        <v>47</v>
      </c>
      <c r="C7" s="27" t="s">
        <v>79</v>
      </c>
      <c r="D7" s="27" t="s">
        <v>80</v>
      </c>
      <c r="E7" s="27" t="s">
        <v>81</v>
      </c>
      <c r="F7" s="28" t="s">
        <v>82</v>
      </c>
      <c r="G7" s="28"/>
      <c r="H7" s="28" t="s">
        <v>78</v>
      </c>
      <c r="I7" s="27"/>
    </row>
    <row r="8" customFormat="false" ht="45.75" hidden="false" customHeight="true" outlineLevel="0" collapsed="false">
      <c r="A8" s="24" t="n">
        <f aca="false">IF($C8="","",COUNTA($C$6:$C8))</f>
        <v>3</v>
      </c>
      <c r="B8" s="16" t="s">
        <v>48</v>
      </c>
      <c r="C8" s="16" t="s">
        <v>83</v>
      </c>
      <c r="D8" s="16" t="s">
        <v>84</v>
      </c>
      <c r="E8" s="16" t="s">
        <v>85</v>
      </c>
      <c r="F8" s="25" t="s">
        <v>77</v>
      </c>
      <c r="G8" s="25"/>
      <c r="H8" s="25" t="s">
        <v>78</v>
      </c>
      <c r="I8" s="16"/>
    </row>
    <row r="9" customFormat="false" ht="45.75" hidden="false" customHeight="true" outlineLevel="0" collapsed="false">
      <c r="A9" s="26" t="n">
        <f aca="false">IF($C9="","",COUNTA($C$6:$C9))</f>
        <v>4</v>
      </c>
      <c r="B9" s="27" t="s">
        <v>49</v>
      </c>
      <c r="C9" s="27" t="s">
        <v>86</v>
      </c>
      <c r="D9" s="27" t="s">
        <v>87</v>
      </c>
      <c r="E9" s="27" t="s">
        <v>88</v>
      </c>
      <c r="F9" s="28" t="s">
        <v>82</v>
      </c>
      <c r="G9" s="28"/>
      <c r="H9" s="28" t="s">
        <v>78</v>
      </c>
      <c r="I9" s="27"/>
    </row>
    <row r="10" customFormat="false" ht="45.75" hidden="false" customHeight="true" outlineLevel="0" collapsed="false">
      <c r="A10" s="24" t="n">
        <f aca="false">IF($C10="","",COUNTA($C$6:$C10))</f>
        <v>5</v>
      </c>
      <c r="B10" s="16" t="s">
        <v>50</v>
      </c>
      <c r="C10" s="16" t="s">
        <v>89</v>
      </c>
      <c r="D10" s="16" t="s">
        <v>90</v>
      </c>
      <c r="E10" s="16" t="s">
        <v>91</v>
      </c>
      <c r="F10" s="25" t="s">
        <v>82</v>
      </c>
      <c r="G10" s="25"/>
      <c r="H10" s="25" t="s">
        <v>78</v>
      </c>
      <c r="I10" s="16"/>
    </row>
    <row r="11" customFormat="false" ht="45.75" hidden="false" customHeight="true" outlineLevel="0" collapsed="false">
      <c r="A11" s="26" t="n">
        <f aca="false">IF($C11="","",COUNTA($C$6:$C11))</f>
        <v>6</v>
      </c>
      <c r="B11" s="27" t="s">
        <v>51</v>
      </c>
      <c r="C11" s="27" t="s">
        <v>92</v>
      </c>
      <c r="D11" s="27" t="s">
        <v>93</v>
      </c>
      <c r="E11" s="27" t="s">
        <v>94</v>
      </c>
      <c r="F11" s="28" t="s">
        <v>82</v>
      </c>
      <c r="G11" s="28"/>
      <c r="H11" s="28" t="s">
        <v>78</v>
      </c>
      <c r="I11" s="27"/>
    </row>
    <row r="12" customFormat="false" ht="45.75" hidden="false" customHeight="true" outlineLevel="0" collapsed="false">
      <c r="A12" s="24" t="n">
        <f aca="false">IF($C12="","",COUNTA($C$6:$C12))</f>
        <v>7</v>
      </c>
      <c r="B12" s="16" t="s">
        <v>52</v>
      </c>
      <c r="C12" s="16" t="s">
        <v>95</v>
      </c>
      <c r="D12" s="16" t="s">
        <v>96</v>
      </c>
      <c r="E12" s="16" t="s">
        <v>97</v>
      </c>
      <c r="F12" s="25" t="s">
        <v>82</v>
      </c>
      <c r="G12" s="25"/>
      <c r="H12" s="25" t="s">
        <v>78</v>
      </c>
      <c r="I12" s="16"/>
    </row>
    <row r="13" customFormat="false" ht="45.75" hidden="false" customHeight="true" outlineLevel="0" collapsed="false">
      <c r="A13" s="26" t="n">
        <f aca="false">IF($C13="","",COUNTA($C$6:$C13))</f>
        <v>8</v>
      </c>
      <c r="B13" s="27" t="s">
        <v>55</v>
      </c>
      <c r="C13" s="27" t="s">
        <v>98</v>
      </c>
      <c r="D13" s="27" t="s">
        <v>99</v>
      </c>
      <c r="E13" s="27" t="s">
        <v>100</v>
      </c>
      <c r="F13" s="28" t="s">
        <v>82</v>
      </c>
      <c r="G13" s="28"/>
      <c r="H13" s="28" t="s">
        <v>78</v>
      </c>
      <c r="I13" s="27"/>
    </row>
    <row r="14" customFormat="false" ht="45.75" hidden="false" customHeight="true" outlineLevel="0" collapsed="false">
      <c r="A14" s="24" t="n">
        <f aca="false">IF($C14="","",COUNTA($C$6:$C14))</f>
        <v>9</v>
      </c>
      <c r="B14" s="16" t="s">
        <v>56</v>
      </c>
      <c r="C14" s="16" t="s">
        <v>101</v>
      </c>
      <c r="D14" s="16" t="s">
        <v>102</v>
      </c>
      <c r="E14" s="16" t="s">
        <v>103</v>
      </c>
      <c r="F14" s="25" t="s">
        <v>82</v>
      </c>
      <c r="G14" s="25"/>
      <c r="H14" s="25" t="s">
        <v>78</v>
      </c>
      <c r="I14" s="16"/>
    </row>
    <row r="15" customFormat="false" ht="45.75" hidden="false" customHeight="true" outlineLevel="0" collapsed="false">
      <c r="A15" s="26" t="n">
        <f aca="false">IF($C15="","",COUNTA($C$6:$C15))</f>
        <v>10</v>
      </c>
      <c r="B15" s="27" t="s">
        <v>57</v>
      </c>
      <c r="C15" s="27" t="s">
        <v>104</v>
      </c>
      <c r="D15" s="27" t="s">
        <v>105</v>
      </c>
      <c r="E15" s="27" t="s">
        <v>106</v>
      </c>
      <c r="F15" s="28" t="s">
        <v>82</v>
      </c>
      <c r="G15" s="28"/>
      <c r="H15" s="28" t="s">
        <v>78</v>
      </c>
      <c r="I15" s="27"/>
    </row>
    <row r="16" customFormat="false" ht="45.75" hidden="false" customHeight="true" outlineLevel="0" collapsed="false">
      <c r="A16" s="24" t="n">
        <f aca="false">IF($C16="","",COUNTA($C$6:$C16))</f>
        <v>11</v>
      </c>
      <c r="B16" s="16" t="s">
        <v>58</v>
      </c>
      <c r="C16" s="16" t="s">
        <v>107</v>
      </c>
      <c r="D16" s="16" t="s">
        <v>108</v>
      </c>
      <c r="E16" s="16" t="s">
        <v>109</v>
      </c>
      <c r="F16" s="25" t="s">
        <v>82</v>
      </c>
      <c r="G16" s="25"/>
      <c r="H16" s="25" t="s">
        <v>78</v>
      </c>
      <c r="I16" s="16"/>
    </row>
    <row r="17" customFormat="false" ht="45.75" hidden="false" customHeight="true" outlineLevel="0" collapsed="false">
      <c r="A17" s="26" t="n">
        <f aca="false">IF($C17="","",COUNTA($C$6:$C17))</f>
        <v>12</v>
      </c>
      <c r="B17" s="27" t="s">
        <v>110</v>
      </c>
      <c r="C17" s="27" t="s">
        <v>111</v>
      </c>
      <c r="D17" s="27" t="s">
        <v>112</v>
      </c>
      <c r="E17" s="27" t="s">
        <v>113</v>
      </c>
      <c r="F17" s="28" t="s">
        <v>114</v>
      </c>
      <c r="G17" s="28"/>
      <c r="H17" s="28" t="s">
        <v>78</v>
      </c>
      <c r="I17" s="27"/>
    </row>
    <row r="18" customFormat="false" ht="45.75" hidden="false" customHeight="true" outlineLevel="0" collapsed="false">
      <c r="A18" s="24" t="str">
        <f aca="false">IF($C18="","",COUNTA($C$6:$C18))</f>
        <v/>
      </c>
      <c r="B18" s="16"/>
      <c r="C18" s="16"/>
      <c r="D18" s="16"/>
      <c r="E18" s="16"/>
      <c r="F18" s="25"/>
      <c r="G18" s="25"/>
      <c r="H18" s="25"/>
      <c r="I18" s="16"/>
    </row>
    <row r="19" customFormat="false" ht="45.75" hidden="false" customHeight="true" outlineLevel="0" collapsed="false">
      <c r="A19" s="26" t="str">
        <f aca="false">IF($C19="","",COUNTA($C$6:$C19))</f>
        <v/>
      </c>
      <c r="B19" s="27"/>
      <c r="C19" s="27"/>
      <c r="D19" s="27"/>
      <c r="E19" s="27"/>
      <c r="F19" s="28"/>
      <c r="G19" s="28"/>
      <c r="H19" s="28"/>
      <c r="I19" s="27"/>
    </row>
    <row r="20" customFormat="false" ht="45.75" hidden="false" customHeight="true" outlineLevel="0" collapsed="false">
      <c r="A20" s="24" t="str">
        <f aca="false">IF($C20="","",COUNTA($C$6:$C20))</f>
        <v/>
      </c>
      <c r="B20" s="16"/>
      <c r="C20" s="16"/>
      <c r="D20" s="16"/>
      <c r="E20" s="16"/>
      <c r="F20" s="25"/>
      <c r="G20" s="25"/>
      <c r="H20" s="25"/>
      <c r="I20" s="16"/>
    </row>
    <row r="21" customFormat="false" ht="45.75" hidden="false" customHeight="true" outlineLevel="0" collapsed="false">
      <c r="A21" s="26" t="str">
        <f aca="false">IF($C21="","",COUNTA($C$6:$C21))</f>
        <v/>
      </c>
      <c r="B21" s="27"/>
      <c r="C21" s="27"/>
      <c r="D21" s="27"/>
      <c r="E21" s="27"/>
      <c r="F21" s="28"/>
      <c r="G21" s="28"/>
      <c r="H21" s="28"/>
      <c r="I21" s="27"/>
    </row>
    <row r="22" customFormat="false" ht="45.75" hidden="false" customHeight="true" outlineLevel="0" collapsed="false">
      <c r="A22" s="24" t="str">
        <f aca="false">IF($C22="","",COUNTA($C$6:$C22))</f>
        <v/>
      </c>
      <c r="B22" s="16"/>
      <c r="C22" s="16"/>
      <c r="D22" s="16"/>
      <c r="E22" s="16"/>
      <c r="F22" s="25"/>
      <c r="G22" s="25"/>
      <c r="H22" s="25"/>
      <c r="I22" s="16"/>
    </row>
    <row r="23" customFormat="false" ht="45.75" hidden="false" customHeight="true" outlineLevel="0" collapsed="false">
      <c r="A23" s="26" t="str">
        <f aca="false">IF($C23="","",COUNTA($C$6:$C23))</f>
        <v/>
      </c>
      <c r="B23" s="27"/>
      <c r="C23" s="27"/>
      <c r="D23" s="27"/>
      <c r="E23" s="27"/>
      <c r="F23" s="28"/>
      <c r="G23" s="28"/>
      <c r="H23" s="28"/>
      <c r="I23" s="27"/>
    </row>
    <row r="24" customFormat="false" ht="45.75" hidden="false" customHeight="true" outlineLevel="0" collapsed="false">
      <c r="A24" s="24" t="str">
        <f aca="false">IF($C24="","",COUNTA($C$6:$C24))</f>
        <v/>
      </c>
      <c r="B24" s="16"/>
      <c r="C24" s="16"/>
      <c r="D24" s="16"/>
      <c r="E24" s="16"/>
      <c r="F24" s="25"/>
      <c r="G24" s="25"/>
      <c r="H24" s="25"/>
      <c r="I24" s="16"/>
    </row>
    <row r="25" customFormat="false" ht="45.75" hidden="false" customHeight="true" outlineLevel="0" collapsed="false">
      <c r="A25" s="26" t="str">
        <f aca="false">IF($C25="","",COUNTA($C$6:$C25))</f>
        <v/>
      </c>
      <c r="B25" s="27"/>
      <c r="C25" s="27"/>
      <c r="D25" s="27"/>
      <c r="E25" s="27"/>
      <c r="F25" s="28"/>
      <c r="G25" s="28"/>
      <c r="H25" s="28"/>
      <c r="I25" s="27"/>
    </row>
    <row r="26" customFormat="false" ht="45.75" hidden="false" customHeight="true" outlineLevel="0" collapsed="false">
      <c r="A26" s="24" t="str">
        <f aca="false">IF($C26="","",COUNTA($C$6:$C26))</f>
        <v/>
      </c>
      <c r="B26" s="16"/>
      <c r="C26" s="16"/>
      <c r="D26" s="16"/>
      <c r="E26" s="16"/>
      <c r="F26" s="25"/>
      <c r="G26" s="25"/>
      <c r="H26" s="25"/>
      <c r="I26" s="16"/>
    </row>
    <row r="27" customFormat="false" ht="45.75" hidden="false" customHeight="true" outlineLevel="0" collapsed="false">
      <c r="A27" s="26" t="str">
        <f aca="false">IF($C27="","",COUNTA($C$6:$C27))</f>
        <v/>
      </c>
      <c r="B27" s="27"/>
      <c r="C27" s="27"/>
      <c r="D27" s="27"/>
      <c r="E27" s="27"/>
      <c r="F27" s="28"/>
      <c r="G27" s="28"/>
      <c r="H27" s="28"/>
      <c r="I27" s="27"/>
    </row>
    <row r="28" customFormat="false" ht="45.75" hidden="false" customHeight="true" outlineLevel="0" collapsed="false">
      <c r="A28" s="24" t="str">
        <f aca="false">IF($C28="","",COUNTA($C$6:$C28))</f>
        <v/>
      </c>
      <c r="B28" s="16"/>
      <c r="C28" s="16"/>
      <c r="D28" s="16"/>
      <c r="E28" s="16"/>
      <c r="F28" s="25"/>
      <c r="G28" s="25"/>
      <c r="H28" s="25"/>
      <c r="I28" s="16"/>
    </row>
    <row r="29" customFormat="false" ht="45.75" hidden="false" customHeight="true" outlineLevel="0" collapsed="false">
      <c r="A29" s="26" t="str">
        <f aca="false">IF($C29="","",COUNTA($C$6:$C29))</f>
        <v/>
      </c>
      <c r="B29" s="27"/>
      <c r="C29" s="27"/>
      <c r="D29" s="27"/>
      <c r="E29" s="27"/>
      <c r="F29" s="28"/>
      <c r="G29" s="28"/>
      <c r="H29" s="28"/>
      <c r="I29" s="27"/>
    </row>
    <row r="30" customFormat="false" ht="45.75" hidden="false" customHeight="true" outlineLevel="0" collapsed="false">
      <c r="A30" s="24" t="str">
        <f aca="false">IF($C30="","",COUNTA($C$6:$C30))</f>
        <v/>
      </c>
      <c r="B30" s="16"/>
      <c r="C30" s="16"/>
      <c r="D30" s="16"/>
      <c r="E30" s="16"/>
      <c r="F30" s="25"/>
      <c r="G30" s="25"/>
      <c r="H30" s="25"/>
      <c r="I30" s="16"/>
    </row>
    <row r="31" customFormat="false" ht="45.75" hidden="false" customHeight="true" outlineLevel="0" collapsed="false">
      <c r="A31" s="26" t="str">
        <f aca="false">IF($C31="","",COUNTA($C$6:$C31))</f>
        <v/>
      </c>
      <c r="B31" s="27"/>
      <c r="C31" s="27"/>
      <c r="D31" s="27"/>
      <c r="E31" s="27"/>
      <c r="F31" s="28"/>
      <c r="G31" s="28"/>
      <c r="H31" s="28"/>
      <c r="I31" s="27"/>
    </row>
    <row r="32" customFormat="false" ht="45.75" hidden="false" customHeight="true" outlineLevel="0" collapsed="false">
      <c r="A32" s="24" t="str">
        <f aca="false">IF($C32="","",COUNTA($C$6:$C32))</f>
        <v/>
      </c>
      <c r="B32" s="16"/>
      <c r="C32" s="16"/>
      <c r="D32" s="16"/>
      <c r="E32" s="16"/>
      <c r="F32" s="25"/>
      <c r="G32" s="25"/>
      <c r="H32" s="25"/>
      <c r="I32" s="16"/>
    </row>
    <row r="33" customFormat="false" ht="45.75" hidden="false" customHeight="true" outlineLevel="0" collapsed="false">
      <c r="A33" s="26" t="str">
        <f aca="false">IF($C33="","",COUNTA($C$6:$C33))</f>
        <v/>
      </c>
      <c r="B33" s="27"/>
      <c r="C33" s="27"/>
      <c r="D33" s="27"/>
      <c r="E33" s="27"/>
      <c r="F33" s="28"/>
      <c r="G33" s="28"/>
      <c r="H33" s="28"/>
      <c r="I33" s="27"/>
    </row>
    <row r="34" customFormat="false" ht="45.75" hidden="false" customHeight="true" outlineLevel="0" collapsed="false">
      <c r="A34" s="24" t="str">
        <f aca="false">IF($C34="","",COUNTA($C$6:$C34))</f>
        <v/>
      </c>
      <c r="B34" s="16"/>
      <c r="C34" s="16"/>
      <c r="D34" s="16"/>
      <c r="E34" s="16"/>
      <c r="F34" s="25"/>
      <c r="G34" s="25"/>
      <c r="H34" s="25"/>
      <c r="I34" s="16"/>
    </row>
    <row r="35" customFormat="false" ht="45.75" hidden="false" customHeight="true" outlineLevel="0" collapsed="false">
      <c r="A35" s="26" t="str">
        <f aca="false">IF($C35="","",COUNTA($C$6:$C35))</f>
        <v/>
      </c>
      <c r="B35" s="27"/>
      <c r="C35" s="27"/>
      <c r="D35" s="27"/>
      <c r="E35" s="27"/>
      <c r="F35" s="28"/>
      <c r="G35" s="28"/>
      <c r="H35" s="28"/>
      <c r="I35" s="27"/>
    </row>
    <row r="37" customFormat="false" ht="15" hidden="false" customHeight="false" outlineLevel="0" collapsed="false">
      <c r="D37" s="22" t="s">
        <v>115</v>
      </c>
      <c r="E37" s="29" t="n">
        <f aca="false">COUNTA($C$6:$C$35)</f>
        <v>12</v>
      </c>
    </row>
    <row r="38" customFormat="false" ht="15" hidden="false" customHeight="false" outlineLevel="0" collapsed="false">
      <c r="D38" s="30" t="s">
        <v>116</v>
      </c>
      <c r="E38" s="31" t="n">
        <f aca="false">COUNTIF($H$6:$H$35,"Proposed")</f>
        <v>12</v>
      </c>
    </row>
  </sheetData>
  <dataValidations count="3">
    <dataValidation allowBlank="true" errorStyle="stop" operator="between" showDropDown="false" showErrorMessage="false" showInputMessage="false" sqref="F6:F35" type="list">
      <formula1>"Reliance,Client,Joint"</formula1>
      <formula2>0</formula2>
    </dataValidation>
    <dataValidation allowBlank="true" errorStyle="stop" operator="between" showDropDown="false" showErrorMessage="false" showInputMessage="false" sqref="H6:H35" type="list">
      <formula1>"Proposed,Agreed,Changed,Removed,Deferred"</formula1>
      <formula2>0</formula2>
    </dataValidation>
    <dataValidation allowBlank="true" errorStyle="warning" operator="between" showDropDown="false" showErrorMessage="false" showInputMessage="false" sqref="B6:B35" type="list">
      <formula1>CatalogNames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1"/>
    <col collapsed="false" customWidth="true" hidden="false" outlineLevel="0" max="3" min="3" style="0" width="28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96"/>
  </cols>
  <sheetData>
    <row r="1" customFormat="false" ht="19.7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</row>
    <row r="5" customFormat="false" ht="30" hidden="false" customHeight="true" outlineLevel="0" collapsed="false">
      <c r="A5" s="13" t="s">
        <v>119</v>
      </c>
      <c r="B5" s="13" t="s">
        <v>120</v>
      </c>
      <c r="C5" s="13" t="s">
        <v>36</v>
      </c>
      <c r="D5" s="13" t="s">
        <v>39</v>
      </c>
      <c r="E5" s="13" t="s">
        <v>121</v>
      </c>
      <c r="F5" s="13" t="s">
        <v>122</v>
      </c>
    </row>
    <row r="6" customFormat="false" ht="15" hidden="false" customHeight="false" outlineLevel="0" collapsed="false">
      <c r="A6" s="32" t="s">
        <v>123</v>
      </c>
      <c r="B6" s="15" t="s">
        <v>124</v>
      </c>
      <c r="C6" s="15" t="s">
        <v>125</v>
      </c>
      <c r="D6" s="15" t="s">
        <v>126</v>
      </c>
      <c r="E6" s="33" t="n">
        <v>35000</v>
      </c>
      <c r="F6" s="17" t="s">
        <v>127</v>
      </c>
    </row>
    <row r="7" customFormat="false" ht="15" hidden="false" customHeight="false" outlineLevel="0" collapsed="false">
      <c r="A7" s="34" t="s">
        <v>45</v>
      </c>
      <c r="B7" s="35" t="s">
        <v>124</v>
      </c>
      <c r="C7" s="35" t="s">
        <v>125</v>
      </c>
      <c r="D7" s="35" t="s">
        <v>126</v>
      </c>
      <c r="E7" s="36" t="n">
        <v>65000</v>
      </c>
      <c r="F7" s="37" t="s">
        <v>128</v>
      </c>
    </row>
    <row r="8" customFormat="false" ht="22.35" hidden="false" customHeight="false" outlineLevel="0" collapsed="false">
      <c r="A8" s="32" t="s">
        <v>129</v>
      </c>
      <c r="B8" s="15" t="s">
        <v>124</v>
      </c>
      <c r="C8" s="15" t="s">
        <v>125</v>
      </c>
      <c r="D8" s="15" t="s">
        <v>126</v>
      </c>
      <c r="E8" s="33" t="n">
        <v>99500</v>
      </c>
      <c r="F8" s="17" t="s">
        <v>130</v>
      </c>
    </row>
    <row r="9" customFormat="false" ht="22.35" hidden="false" customHeight="false" outlineLevel="0" collapsed="false">
      <c r="A9" s="34" t="s">
        <v>131</v>
      </c>
      <c r="B9" s="35" t="s">
        <v>124</v>
      </c>
      <c r="C9" s="35" t="s">
        <v>125</v>
      </c>
      <c r="D9" s="35" t="s">
        <v>126</v>
      </c>
      <c r="E9" s="36" t="n">
        <v>155000</v>
      </c>
      <c r="F9" s="37" t="s">
        <v>132</v>
      </c>
    </row>
    <row r="10" customFormat="false" ht="22.35" hidden="false" customHeight="false" outlineLevel="0" collapsed="false">
      <c r="A10" s="32" t="s">
        <v>133</v>
      </c>
      <c r="B10" s="15" t="s">
        <v>124</v>
      </c>
      <c r="C10" s="15" t="s">
        <v>125</v>
      </c>
      <c r="D10" s="15" t="s">
        <v>126</v>
      </c>
      <c r="E10" s="33" t="n">
        <v>5000</v>
      </c>
      <c r="F10" s="17" t="s">
        <v>134</v>
      </c>
    </row>
    <row r="11" customFormat="false" ht="15" hidden="false" customHeight="false" outlineLevel="0" collapsed="false">
      <c r="A11" s="34" t="s">
        <v>46</v>
      </c>
      <c r="B11" s="35" t="s">
        <v>135</v>
      </c>
      <c r="C11" s="35" t="s">
        <v>136</v>
      </c>
      <c r="D11" s="35" t="s">
        <v>135</v>
      </c>
      <c r="E11" s="36" t="n">
        <v>3500</v>
      </c>
      <c r="F11" s="37" t="s">
        <v>137</v>
      </c>
    </row>
    <row r="12" customFormat="false" ht="15" hidden="false" customHeight="false" outlineLevel="0" collapsed="false">
      <c r="A12" s="32" t="s">
        <v>47</v>
      </c>
      <c r="B12" s="15" t="s">
        <v>135</v>
      </c>
      <c r="C12" s="15" t="s">
        <v>136</v>
      </c>
      <c r="D12" s="15" t="s">
        <v>135</v>
      </c>
      <c r="E12" s="33" t="n">
        <v>10000</v>
      </c>
      <c r="F12" s="17" t="s">
        <v>138</v>
      </c>
    </row>
    <row r="13" customFormat="false" ht="15" hidden="false" customHeight="false" outlineLevel="0" collapsed="false">
      <c r="A13" s="34" t="s">
        <v>48</v>
      </c>
      <c r="B13" s="35" t="s">
        <v>135</v>
      </c>
      <c r="C13" s="35" t="s">
        <v>136</v>
      </c>
      <c r="D13" s="35" t="s">
        <v>135</v>
      </c>
      <c r="E13" s="36" t="n">
        <v>6500</v>
      </c>
      <c r="F13" s="37" t="s">
        <v>139</v>
      </c>
    </row>
    <row r="14" customFormat="false" ht="15" hidden="false" customHeight="false" outlineLevel="0" collapsed="false">
      <c r="A14" s="32" t="s">
        <v>49</v>
      </c>
      <c r="B14" s="15" t="s">
        <v>135</v>
      </c>
      <c r="C14" s="15" t="s">
        <v>136</v>
      </c>
      <c r="D14" s="15" t="s">
        <v>135</v>
      </c>
      <c r="E14" s="33" t="n">
        <v>8000</v>
      </c>
      <c r="F14" s="17" t="s">
        <v>140</v>
      </c>
    </row>
    <row r="15" customFormat="false" ht="15" hidden="false" customHeight="false" outlineLevel="0" collapsed="false">
      <c r="A15" s="34" t="s">
        <v>141</v>
      </c>
      <c r="B15" s="35" t="s">
        <v>135</v>
      </c>
      <c r="C15" s="35" t="s">
        <v>136</v>
      </c>
      <c r="D15" s="35" t="s">
        <v>135</v>
      </c>
      <c r="E15" s="36" t="n">
        <v>4500</v>
      </c>
      <c r="F15" s="37" t="s">
        <v>142</v>
      </c>
    </row>
    <row r="16" customFormat="false" ht="15" hidden="false" customHeight="false" outlineLevel="0" collapsed="false">
      <c r="A16" s="32" t="s">
        <v>143</v>
      </c>
      <c r="B16" s="15" t="s">
        <v>144</v>
      </c>
      <c r="C16" s="15" t="s">
        <v>125</v>
      </c>
      <c r="D16" s="15" t="s">
        <v>145</v>
      </c>
      <c r="E16" s="33" t="n">
        <v>7500</v>
      </c>
      <c r="F16" s="17" t="s">
        <v>146</v>
      </c>
    </row>
    <row r="17" customFormat="false" ht="15" hidden="false" customHeight="false" outlineLevel="0" collapsed="false">
      <c r="A17" s="34" t="s">
        <v>147</v>
      </c>
      <c r="B17" s="35" t="s">
        <v>144</v>
      </c>
      <c r="C17" s="35" t="s">
        <v>125</v>
      </c>
      <c r="D17" s="35" t="s">
        <v>148</v>
      </c>
      <c r="E17" s="36" t="n">
        <v>299</v>
      </c>
      <c r="F17" s="37" t="s">
        <v>149</v>
      </c>
    </row>
    <row r="18" customFormat="false" ht="15" hidden="false" customHeight="false" outlineLevel="0" collapsed="false">
      <c r="A18" s="32" t="s">
        <v>150</v>
      </c>
      <c r="B18" s="15" t="s">
        <v>144</v>
      </c>
      <c r="C18" s="15" t="s">
        <v>125</v>
      </c>
      <c r="D18" s="15" t="s">
        <v>151</v>
      </c>
      <c r="E18" s="33" t="n">
        <v>2500</v>
      </c>
      <c r="F18" s="17" t="s">
        <v>152</v>
      </c>
    </row>
    <row r="19" customFormat="false" ht="15" hidden="false" customHeight="false" outlineLevel="0" collapsed="false">
      <c r="A19" s="34" t="s">
        <v>153</v>
      </c>
      <c r="B19" s="35" t="s">
        <v>144</v>
      </c>
      <c r="C19" s="35" t="s">
        <v>154</v>
      </c>
      <c r="D19" s="35" t="s">
        <v>151</v>
      </c>
      <c r="E19" s="36" t="n">
        <v>12500</v>
      </c>
      <c r="F19" s="37" t="s">
        <v>155</v>
      </c>
    </row>
    <row r="20" customFormat="false" ht="15" hidden="false" customHeight="false" outlineLevel="0" collapsed="false">
      <c r="A20" s="32" t="s">
        <v>156</v>
      </c>
      <c r="B20" s="15" t="s">
        <v>144</v>
      </c>
      <c r="C20" s="15" t="s">
        <v>154</v>
      </c>
      <c r="D20" s="15" t="s">
        <v>151</v>
      </c>
      <c r="E20" s="33" t="n">
        <v>15000</v>
      </c>
      <c r="F20" s="17" t="s">
        <v>157</v>
      </c>
    </row>
    <row r="21" customFormat="false" ht="15" hidden="false" customHeight="false" outlineLevel="0" collapsed="false">
      <c r="A21" s="34" t="s">
        <v>158</v>
      </c>
      <c r="B21" s="35" t="s">
        <v>144</v>
      </c>
      <c r="C21" s="35" t="s">
        <v>154</v>
      </c>
      <c r="D21" s="35" t="s">
        <v>151</v>
      </c>
      <c r="E21" s="36" t="n">
        <v>12500</v>
      </c>
      <c r="F21" s="37" t="s">
        <v>159</v>
      </c>
    </row>
    <row r="22" customFormat="false" ht="15" hidden="false" customHeight="false" outlineLevel="0" collapsed="false">
      <c r="A22" s="32" t="s">
        <v>50</v>
      </c>
      <c r="B22" s="15" t="s">
        <v>144</v>
      </c>
      <c r="C22" s="15" t="s">
        <v>154</v>
      </c>
      <c r="D22" s="15" t="s">
        <v>151</v>
      </c>
      <c r="E22" s="33" t="n">
        <v>22500</v>
      </c>
      <c r="F22" s="17" t="s">
        <v>160</v>
      </c>
    </row>
    <row r="23" customFormat="false" ht="15" hidden="false" customHeight="false" outlineLevel="0" collapsed="false">
      <c r="A23" s="34" t="s">
        <v>51</v>
      </c>
      <c r="B23" s="35" t="s">
        <v>144</v>
      </c>
      <c r="C23" s="35" t="s">
        <v>154</v>
      </c>
      <c r="D23" s="35" t="s">
        <v>151</v>
      </c>
      <c r="E23" s="36" t="n">
        <v>9500</v>
      </c>
      <c r="F23" s="37" t="s">
        <v>161</v>
      </c>
    </row>
    <row r="24" customFormat="false" ht="15" hidden="false" customHeight="false" outlineLevel="0" collapsed="false">
      <c r="A24" s="32" t="s">
        <v>162</v>
      </c>
      <c r="B24" s="15" t="s">
        <v>144</v>
      </c>
      <c r="C24" s="15" t="s">
        <v>154</v>
      </c>
      <c r="D24" s="15" t="s">
        <v>151</v>
      </c>
      <c r="E24" s="33" t="n">
        <v>5500</v>
      </c>
      <c r="F24" s="17" t="s">
        <v>163</v>
      </c>
    </row>
    <row r="25" customFormat="false" ht="15" hidden="false" customHeight="false" outlineLevel="0" collapsed="false">
      <c r="A25" s="34" t="s">
        <v>52</v>
      </c>
      <c r="B25" s="35" t="s">
        <v>144</v>
      </c>
      <c r="C25" s="35" t="s">
        <v>154</v>
      </c>
      <c r="D25" s="35" t="s">
        <v>151</v>
      </c>
      <c r="E25" s="36" t="n">
        <v>18500</v>
      </c>
      <c r="F25" s="37" t="s">
        <v>164</v>
      </c>
    </row>
    <row r="26" customFormat="false" ht="15" hidden="false" customHeight="false" outlineLevel="0" collapsed="false">
      <c r="A26" s="32" t="s">
        <v>54</v>
      </c>
      <c r="B26" s="15" t="s">
        <v>144</v>
      </c>
      <c r="C26" s="15" t="s">
        <v>154</v>
      </c>
      <c r="D26" s="15" t="s">
        <v>151</v>
      </c>
      <c r="E26" s="33" t="n">
        <v>27500</v>
      </c>
      <c r="F26" s="17" t="s">
        <v>165</v>
      </c>
    </row>
    <row r="27" customFormat="false" ht="15" hidden="false" customHeight="false" outlineLevel="0" collapsed="false">
      <c r="A27" s="34" t="s">
        <v>166</v>
      </c>
      <c r="B27" s="35" t="s">
        <v>144</v>
      </c>
      <c r="C27" s="35" t="s">
        <v>154</v>
      </c>
      <c r="D27" s="35" t="s">
        <v>167</v>
      </c>
      <c r="E27" s="36" t="n">
        <v>225</v>
      </c>
      <c r="F27" s="37" t="s">
        <v>168</v>
      </c>
    </row>
    <row r="28" customFormat="false" ht="15" hidden="false" customHeight="false" outlineLevel="0" collapsed="false">
      <c r="A28" s="32" t="s">
        <v>169</v>
      </c>
      <c r="B28" s="15" t="s">
        <v>144</v>
      </c>
      <c r="C28" s="15" t="s">
        <v>154</v>
      </c>
      <c r="D28" s="15" t="s">
        <v>167</v>
      </c>
      <c r="E28" s="33" t="n">
        <v>150</v>
      </c>
      <c r="F28" s="17" t="s">
        <v>170</v>
      </c>
    </row>
    <row r="29" customFormat="false" ht="15" hidden="false" customHeight="false" outlineLevel="0" collapsed="false">
      <c r="A29" s="34" t="s">
        <v>171</v>
      </c>
      <c r="B29" s="35" t="s">
        <v>144</v>
      </c>
      <c r="C29" s="35" t="s">
        <v>154</v>
      </c>
      <c r="D29" s="35" t="s">
        <v>172</v>
      </c>
      <c r="E29" s="36" t="n">
        <v>4500</v>
      </c>
      <c r="F29" s="37" t="s">
        <v>173</v>
      </c>
    </row>
    <row r="30" customFormat="false" ht="15" hidden="false" customHeight="false" outlineLevel="0" collapsed="false">
      <c r="A30" s="32" t="s">
        <v>174</v>
      </c>
      <c r="B30" s="15" t="s">
        <v>144</v>
      </c>
      <c r="C30" s="15" t="s">
        <v>154</v>
      </c>
      <c r="D30" s="15" t="s">
        <v>175</v>
      </c>
      <c r="E30" s="33" t="n">
        <v>6500</v>
      </c>
      <c r="F30" s="17" t="s">
        <v>176</v>
      </c>
    </row>
    <row r="31" customFormat="false" ht="15" hidden="false" customHeight="false" outlineLevel="0" collapsed="false">
      <c r="A31" s="34" t="s">
        <v>177</v>
      </c>
      <c r="B31" s="35" t="s">
        <v>144</v>
      </c>
      <c r="C31" s="35" t="s">
        <v>178</v>
      </c>
      <c r="D31" s="35" t="s">
        <v>179</v>
      </c>
      <c r="E31" s="36" t="n">
        <v>595</v>
      </c>
      <c r="F31" s="37" t="s">
        <v>180</v>
      </c>
    </row>
    <row r="32" customFormat="false" ht="15" hidden="false" customHeight="false" outlineLevel="0" collapsed="false">
      <c r="A32" s="32" t="s">
        <v>55</v>
      </c>
      <c r="B32" s="15" t="s">
        <v>144</v>
      </c>
      <c r="C32" s="15" t="s">
        <v>178</v>
      </c>
      <c r="D32" s="15" t="s">
        <v>179</v>
      </c>
      <c r="E32" s="33" t="n">
        <v>1150</v>
      </c>
      <c r="F32" s="17" t="s">
        <v>181</v>
      </c>
    </row>
    <row r="33" customFormat="false" ht="15" hidden="false" customHeight="false" outlineLevel="0" collapsed="false">
      <c r="A33" s="34" t="s">
        <v>182</v>
      </c>
      <c r="B33" s="35" t="s">
        <v>144</v>
      </c>
      <c r="C33" s="35" t="s">
        <v>178</v>
      </c>
      <c r="D33" s="35" t="s">
        <v>179</v>
      </c>
      <c r="E33" s="36" t="n">
        <v>2100</v>
      </c>
      <c r="F33" s="37" t="s">
        <v>183</v>
      </c>
    </row>
    <row r="34" customFormat="false" ht="15" hidden="false" customHeight="false" outlineLevel="0" collapsed="false">
      <c r="A34" s="32" t="s">
        <v>184</v>
      </c>
      <c r="B34" s="15" t="s">
        <v>144</v>
      </c>
      <c r="C34" s="15" t="s">
        <v>178</v>
      </c>
      <c r="D34" s="15" t="s">
        <v>124</v>
      </c>
      <c r="E34" s="33" t="n">
        <v>495</v>
      </c>
      <c r="F34" s="17" t="s">
        <v>185</v>
      </c>
    </row>
    <row r="35" customFormat="false" ht="15" hidden="false" customHeight="false" outlineLevel="0" collapsed="false">
      <c r="A35" s="34" t="s">
        <v>186</v>
      </c>
      <c r="B35" s="35" t="s">
        <v>144</v>
      </c>
      <c r="C35" s="35" t="s">
        <v>178</v>
      </c>
      <c r="D35" s="35" t="s">
        <v>124</v>
      </c>
      <c r="E35" s="36" t="n">
        <v>1350</v>
      </c>
      <c r="F35" s="37" t="s">
        <v>187</v>
      </c>
    </row>
    <row r="36" customFormat="false" ht="15" hidden="false" customHeight="false" outlineLevel="0" collapsed="false">
      <c r="A36" s="32" t="s">
        <v>188</v>
      </c>
      <c r="B36" s="15" t="s">
        <v>144</v>
      </c>
      <c r="C36" s="15" t="s">
        <v>178</v>
      </c>
      <c r="D36" s="15" t="s">
        <v>145</v>
      </c>
      <c r="E36" s="33" t="n">
        <v>550</v>
      </c>
      <c r="F36" s="17" t="s">
        <v>189</v>
      </c>
    </row>
    <row r="37" customFormat="false" ht="15" hidden="false" customHeight="false" outlineLevel="0" collapsed="false">
      <c r="A37" s="34" t="s">
        <v>190</v>
      </c>
      <c r="B37" s="35" t="s">
        <v>144</v>
      </c>
      <c r="C37" s="35" t="s">
        <v>191</v>
      </c>
      <c r="D37" s="35" t="s">
        <v>192</v>
      </c>
      <c r="E37" s="36" t="n">
        <v>210</v>
      </c>
      <c r="F37" s="37" t="s">
        <v>193</v>
      </c>
    </row>
    <row r="38" customFormat="false" ht="22.35" hidden="false" customHeight="false" outlineLevel="0" collapsed="false">
      <c r="A38" s="32" t="s">
        <v>56</v>
      </c>
      <c r="B38" s="15" t="s">
        <v>144</v>
      </c>
      <c r="C38" s="15" t="s">
        <v>191</v>
      </c>
      <c r="D38" s="15" t="s">
        <v>192</v>
      </c>
      <c r="E38" s="33" t="n">
        <v>510</v>
      </c>
      <c r="F38" s="17" t="s">
        <v>194</v>
      </c>
    </row>
    <row r="39" customFormat="false" ht="22.35" hidden="false" customHeight="false" outlineLevel="0" collapsed="false">
      <c r="A39" s="34" t="s">
        <v>195</v>
      </c>
      <c r="B39" s="35" t="s">
        <v>144</v>
      </c>
      <c r="C39" s="35" t="s">
        <v>191</v>
      </c>
      <c r="D39" s="35" t="s">
        <v>196</v>
      </c>
      <c r="E39" s="36" t="n">
        <v>450</v>
      </c>
      <c r="F39" s="37" t="s">
        <v>197</v>
      </c>
    </row>
    <row r="40" customFormat="false" ht="15" hidden="false" customHeight="false" outlineLevel="0" collapsed="false">
      <c r="A40" s="32" t="s">
        <v>198</v>
      </c>
      <c r="B40" s="15" t="s">
        <v>144</v>
      </c>
      <c r="C40" s="15" t="s">
        <v>191</v>
      </c>
      <c r="D40" s="15" t="s">
        <v>196</v>
      </c>
      <c r="E40" s="33" t="n">
        <v>850</v>
      </c>
      <c r="F40" s="17" t="s">
        <v>199</v>
      </c>
    </row>
    <row r="41" customFormat="false" ht="15" hidden="false" customHeight="false" outlineLevel="0" collapsed="false">
      <c r="A41" s="34" t="s">
        <v>200</v>
      </c>
      <c r="B41" s="35" t="s">
        <v>144</v>
      </c>
      <c r="C41" s="35" t="s">
        <v>191</v>
      </c>
      <c r="D41" s="35" t="s">
        <v>196</v>
      </c>
      <c r="E41" s="36" t="n">
        <v>300</v>
      </c>
      <c r="F41" s="37" t="s">
        <v>201</v>
      </c>
    </row>
    <row r="42" customFormat="false" ht="15" hidden="false" customHeight="false" outlineLevel="0" collapsed="false">
      <c r="A42" s="32" t="s">
        <v>202</v>
      </c>
      <c r="B42" s="15" t="s">
        <v>144</v>
      </c>
      <c r="C42" s="15" t="s">
        <v>191</v>
      </c>
      <c r="D42" s="15" t="s">
        <v>192</v>
      </c>
      <c r="E42" s="33" t="n">
        <v>80</v>
      </c>
      <c r="F42" s="17" t="s">
        <v>203</v>
      </c>
    </row>
    <row r="43" customFormat="false" ht="15" hidden="false" customHeight="false" outlineLevel="0" collapsed="false">
      <c r="A43" s="34" t="s">
        <v>204</v>
      </c>
      <c r="B43" s="35" t="s">
        <v>144</v>
      </c>
      <c r="C43" s="35" t="s">
        <v>191</v>
      </c>
      <c r="D43" s="35" t="s">
        <v>196</v>
      </c>
      <c r="E43" s="36" t="n">
        <v>350</v>
      </c>
      <c r="F43" s="37" t="s">
        <v>205</v>
      </c>
    </row>
    <row r="44" customFormat="false" ht="15" hidden="false" customHeight="false" outlineLevel="0" collapsed="false">
      <c r="A44" s="32" t="s">
        <v>206</v>
      </c>
      <c r="B44" s="15" t="s">
        <v>144</v>
      </c>
      <c r="C44" s="15" t="s">
        <v>191</v>
      </c>
      <c r="D44" s="15" t="s">
        <v>192</v>
      </c>
      <c r="E44" s="33" t="n">
        <v>70</v>
      </c>
      <c r="F44" s="17" t="s">
        <v>207</v>
      </c>
    </row>
    <row r="45" customFormat="false" ht="15" hidden="false" customHeight="false" outlineLevel="0" collapsed="false">
      <c r="A45" s="34" t="s">
        <v>208</v>
      </c>
      <c r="B45" s="35" t="s">
        <v>144</v>
      </c>
      <c r="C45" s="35" t="s">
        <v>191</v>
      </c>
      <c r="D45" s="35" t="s">
        <v>192</v>
      </c>
      <c r="E45" s="36" t="n">
        <v>105</v>
      </c>
      <c r="F45" s="37" t="s">
        <v>209</v>
      </c>
    </row>
    <row r="46" customFormat="false" ht="15" hidden="false" customHeight="false" outlineLevel="0" collapsed="false">
      <c r="A46" s="32" t="s">
        <v>210</v>
      </c>
      <c r="B46" s="15" t="s">
        <v>144</v>
      </c>
      <c r="C46" s="15" t="s">
        <v>191</v>
      </c>
      <c r="D46" s="15" t="s">
        <v>192</v>
      </c>
      <c r="E46" s="33" t="n">
        <v>115</v>
      </c>
      <c r="F46" s="17" t="s">
        <v>211</v>
      </c>
    </row>
    <row r="47" customFormat="false" ht="15" hidden="false" customHeight="false" outlineLevel="0" collapsed="false">
      <c r="A47" s="34" t="s">
        <v>212</v>
      </c>
      <c r="B47" s="35" t="s">
        <v>144</v>
      </c>
      <c r="C47" s="35" t="s">
        <v>191</v>
      </c>
      <c r="D47" s="35" t="s">
        <v>192</v>
      </c>
      <c r="E47" s="36" t="n">
        <v>115</v>
      </c>
      <c r="F47" s="37" t="s">
        <v>213</v>
      </c>
    </row>
    <row r="48" customFormat="false" ht="15" hidden="false" customHeight="false" outlineLevel="0" collapsed="false">
      <c r="A48" s="32" t="s">
        <v>214</v>
      </c>
      <c r="B48" s="15" t="s">
        <v>144</v>
      </c>
      <c r="C48" s="15" t="s">
        <v>191</v>
      </c>
      <c r="D48" s="15" t="s">
        <v>196</v>
      </c>
      <c r="E48" s="33" t="n">
        <v>750</v>
      </c>
      <c r="F48" s="17" t="s">
        <v>215</v>
      </c>
    </row>
    <row r="49" customFormat="false" ht="22.35" hidden="false" customHeight="false" outlineLevel="0" collapsed="false">
      <c r="A49" s="34" t="s">
        <v>216</v>
      </c>
      <c r="B49" s="35" t="s">
        <v>144</v>
      </c>
      <c r="C49" s="35" t="s">
        <v>191</v>
      </c>
      <c r="D49" s="35" t="s">
        <v>192</v>
      </c>
      <c r="E49" s="36" t="n">
        <v>100</v>
      </c>
      <c r="F49" s="37" t="s">
        <v>217</v>
      </c>
    </row>
    <row r="50" customFormat="false" ht="15" hidden="false" customHeight="false" outlineLevel="0" collapsed="false">
      <c r="A50" s="32" t="s">
        <v>218</v>
      </c>
      <c r="B50" s="15" t="s">
        <v>144</v>
      </c>
      <c r="C50" s="15" t="s">
        <v>191</v>
      </c>
      <c r="D50" s="15" t="s">
        <v>192</v>
      </c>
      <c r="E50" s="33" t="n">
        <v>100</v>
      </c>
      <c r="F50" s="17" t="s">
        <v>219</v>
      </c>
    </row>
    <row r="51" customFormat="false" ht="15" hidden="false" customHeight="false" outlineLevel="0" collapsed="false">
      <c r="A51" s="34" t="s">
        <v>220</v>
      </c>
      <c r="B51" s="35" t="s">
        <v>144</v>
      </c>
      <c r="C51" s="35" t="s">
        <v>191</v>
      </c>
      <c r="D51" s="35" t="s">
        <v>192</v>
      </c>
      <c r="E51" s="36" t="n">
        <v>85</v>
      </c>
      <c r="F51" s="37" t="s">
        <v>221</v>
      </c>
    </row>
    <row r="52" customFormat="false" ht="15" hidden="false" customHeight="false" outlineLevel="0" collapsed="false">
      <c r="A52" s="32" t="s">
        <v>222</v>
      </c>
      <c r="B52" s="15" t="s">
        <v>144</v>
      </c>
      <c r="C52" s="15" t="s">
        <v>191</v>
      </c>
      <c r="D52" s="15" t="s">
        <v>196</v>
      </c>
      <c r="E52" s="33" t="n">
        <v>500</v>
      </c>
      <c r="F52" s="17" t="s">
        <v>223</v>
      </c>
    </row>
    <row r="53" customFormat="false" ht="15" hidden="false" customHeight="false" outlineLevel="0" collapsed="false">
      <c r="A53" s="34" t="s">
        <v>224</v>
      </c>
      <c r="B53" s="35" t="s">
        <v>144</v>
      </c>
      <c r="C53" s="35" t="s">
        <v>191</v>
      </c>
      <c r="D53" s="35" t="s">
        <v>196</v>
      </c>
      <c r="E53" s="36" t="n">
        <v>350</v>
      </c>
      <c r="F53" s="37" t="s">
        <v>225</v>
      </c>
    </row>
    <row r="54" customFormat="false" ht="15" hidden="false" customHeight="false" outlineLevel="0" collapsed="false">
      <c r="A54" s="32" t="s">
        <v>226</v>
      </c>
      <c r="B54" s="15" t="s">
        <v>144</v>
      </c>
      <c r="C54" s="15" t="s">
        <v>191</v>
      </c>
      <c r="D54" s="15" t="s">
        <v>196</v>
      </c>
      <c r="E54" s="33" t="n">
        <v>850</v>
      </c>
      <c r="F54" s="17" t="s">
        <v>227</v>
      </c>
    </row>
    <row r="55" customFormat="false" ht="15" hidden="false" customHeight="false" outlineLevel="0" collapsed="false">
      <c r="A55" s="34" t="s">
        <v>228</v>
      </c>
      <c r="B55" s="35" t="s">
        <v>144</v>
      </c>
      <c r="C55" s="35" t="s">
        <v>191</v>
      </c>
      <c r="D55" s="35" t="s">
        <v>192</v>
      </c>
      <c r="E55" s="36" t="n">
        <v>135</v>
      </c>
      <c r="F55" s="37" t="s">
        <v>229</v>
      </c>
    </row>
    <row r="56" customFormat="false" ht="15" hidden="false" customHeight="false" outlineLevel="0" collapsed="false">
      <c r="A56" s="32" t="s">
        <v>230</v>
      </c>
      <c r="B56" s="15" t="s">
        <v>144</v>
      </c>
      <c r="C56" s="15" t="s">
        <v>191</v>
      </c>
      <c r="D56" s="15" t="s">
        <v>196</v>
      </c>
      <c r="E56" s="33" t="n">
        <v>500</v>
      </c>
      <c r="F56" s="17" t="s">
        <v>231</v>
      </c>
    </row>
    <row r="57" customFormat="false" ht="15" hidden="false" customHeight="false" outlineLevel="0" collapsed="false">
      <c r="A57" s="34" t="s">
        <v>232</v>
      </c>
      <c r="B57" s="35" t="s">
        <v>144</v>
      </c>
      <c r="C57" s="35" t="s">
        <v>191</v>
      </c>
      <c r="D57" s="35" t="s">
        <v>196</v>
      </c>
      <c r="E57" s="36" t="n">
        <v>450</v>
      </c>
      <c r="F57" s="37" t="s">
        <v>233</v>
      </c>
    </row>
    <row r="58" customFormat="false" ht="22.35" hidden="false" customHeight="false" outlineLevel="0" collapsed="false">
      <c r="A58" s="32" t="s">
        <v>234</v>
      </c>
      <c r="B58" s="15" t="s">
        <v>144</v>
      </c>
      <c r="C58" s="15" t="s">
        <v>191</v>
      </c>
      <c r="D58" s="15" t="s">
        <v>196</v>
      </c>
      <c r="E58" s="33" t="n">
        <v>650</v>
      </c>
      <c r="F58" s="17" t="s">
        <v>235</v>
      </c>
    </row>
    <row r="59" customFormat="false" ht="22.35" hidden="false" customHeight="false" outlineLevel="0" collapsed="false">
      <c r="A59" s="34" t="s">
        <v>236</v>
      </c>
      <c r="B59" s="35" t="s">
        <v>144</v>
      </c>
      <c r="C59" s="35" t="s">
        <v>191</v>
      </c>
      <c r="D59" s="35" t="s">
        <v>192</v>
      </c>
      <c r="E59" s="36" t="n">
        <v>85</v>
      </c>
      <c r="F59" s="37" t="s">
        <v>237</v>
      </c>
    </row>
    <row r="60" customFormat="false" ht="15" hidden="false" customHeight="false" outlineLevel="0" collapsed="false">
      <c r="A60" s="32" t="s">
        <v>238</v>
      </c>
      <c r="B60" s="15" t="s">
        <v>144</v>
      </c>
      <c r="C60" s="15" t="s">
        <v>191</v>
      </c>
      <c r="D60" s="15" t="s">
        <v>196</v>
      </c>
      <c r="E60" s="33" t="n">
        <v>450</v>
      </c>
      <c r="F60" s="17" t="s">
        <v>239</v>
      </c>
    </row>
    <row r="61" customFormat="false" ht="22.35" hidden="false" customHeight="false" outlineLevel="0" collapsed="false">
      <c r="A61" s="34" t="s">
        <v>240</v>
      </c>
      <c r="B61" s="35" t="s">
        <v>144</v>
      </c>
      <c r="C61" s="35" t="s">
        <v>191</v>
      </c>
      <c r="D61" s="35" t="s">
        <v>196</v>
      </c>
      <c r="E61" s="36" t="n">
        <v>425</v>
      </c>
      <c r="F61" s="37" t="s">
        <v>241</v>
      </c>
    </row>
    <row r="62" customFormat="false" ht="15" hidden="false" customHeight="false" outlineLevel="0" collapsed="false">
      <c r="A62" s="32" t="s">
        <v>242</v>
      </c>
      <c r="B62" s="15" t="s">
        <v>144</v>
      </c>
      <c r="C62" s="15" t="s">
        <v>191</v>
      </c>
      <c r="D62" s="15" t="s">
        <v>196</v>
      </c>
      <c r="E62" s="33" t="n">
        <v>450</v>
      </c>
      <c r="F62" s="17" t="s">
        <v>243</v>
      </c>
    </row>
    <row r="63" customFormat="false" ht="15" hidden="false" customHeight="false" outlineLevel="0" collapsed="false">
      <c r="A63" s="34" t="s">
        <v>244</v>
      </c>
      <c r="B63" s="35" t="s">
        <v>144</v>
      </c>
      <c r="C63" s="35" t="s">
        <v>191</v>
      </c>
      <c r="D63" s="35" t="s">
        <v>196</v>
      </c>
      <c r="E63" s="36" t="n">
        <v>400</v>
      </c>
      <c r="F63" s="37" t="s">
        <v>245</v>
      </c>
    </row>
    <row r="64" customFormat="false" ht="22.35" hidden="false" customHeight="false" outlineLevel="0" collapsed="false">
      <c r="A64" s="32" t="s">
        <v>246</v>
      </c>
      <c r="B64" s="15" t="s">
        <v>144</v>
      </c>
      <c r="C64" s="15" t="s">
        <v>191</v>
      </c>
      <c r="D64" s="15" t="s">
        <v>192</v>
      </c>
      <c r="E64" s="33" t="n">
        <v>145</v>
      </c>
      <c r="F64" s="17" t="s">
        <v>247</v>
      </c>
    </row>
    <row r="65" customFormat="false" ht="15" hidden="false" customHeight="false" outlineLevel="0" collapsed="false">
      <c r="A65" s="34" t="s">
        <v>248</v>
      </c>
      <c r="B65" s="35" t="s">
        <v>144</v>
      </c>
      <c r="C65" s="35" t="s">
        <v>191</v>
      </c>
      <c r="D65" s="35" t="s">
        <v>196</v>
      </c>
      <c r="E65" s="36" t="n">
        <v>750</v>
      </c>
      <c r="F65" s="37" t="s">
        <v>249</v>
      </c>
    </row>
    <row r="66" customFormat="false" ht="15" hidden="false" customHeight="false" outlineLevel="0" collapsed="false">
      <c r="A66" s="32" t="s">
        <v>250</v>
      </c>
      <c r="B66" s="15" t="s">
        <v>144</v>
      </c>
      <c r="C66" s="15" t="s">
        <v>191</v>
      </c>
      <c r="D66" s="15" t="s">
        <v>196</v>
      </c>
      <c r="E66" s="33" t="n">
        <v>650</v>
      </c>
      <c r="F66" s="17" t="s">
        <v>251</v>
      </c>
    </row>
    <row r="67" customFormat="false" ht="15" hidden="false" customHeight="false" outlineLevel="0" collapsed="false">
      <c r="A67" s="34" t="s">
        <v>252</v>
      </c>
      <c r="B67" s="35" t="s">
        <v>144</v>
      </c>
      <c r="C67" s="35" t="s">
        <v>191</v>
      </c>
      <c r="D67" s="35" t="s">
        <v>196</v>
      </c>
      <c r="E67" s="36" t="n">
        <v>700</v>
      </c>
      <c r="F67" s="37" t="s">
        <v>253</v>
      </c>
    </row>
    <row r="68" customFormat="false" ht="15" hidden="false" customHeight="false" outlineLevel="0" collapsed="false">
      <c r="A68" s="32" t="s">
        <v>254</v>
      </c>
      <c r="B68" s="15" t="s">
        <v>144</v>
      </c>
      <c r="C68" s="15" t="s">
        <v>191</v>
      </c>
      <c r="D68" s="15" t="s">
        <v>192</v>
      </c>
      <c r="E68" s="33" t="n">
        <v>80</v>
      </c>
      <c r="F68" s="17" t="s">
        <v>255</v>
      </c>
    </row>
    <row r="69" customFormat="false" ht="15" hidden="false" customHeight="false" outlineLevel="0" collapsed="false">
      <c r="A69" s="34" t="s">
        <v>256</v>
      </c>
      <c r="B69" s="35" t="s">
        <v>144</v>
      </c>
      <c r="C69" s="35" t="s">
        <v>191</v>
      </c>
      <c r="D69" s="35" t="s">
        <v>196</v>
      </c>
      <c r="E69" s="36" t="n">
        <v>850</v>
      </c>
      <c r="F69" s="37" t="s">
        <v>257</v>
      </c>
    </row>
    <row r="70" customFormat="false" ht="15" hidden="false" customHeight="false" outlineLevel="0" collapsed="false">
      <c r="A70" s="32" t="s">
        <v>258</v>
      </c>
      <c r="B70" s="15" t="s">
        <v>144</v>
      </c>
      <c r="C70" s="15" t="s">
        <v>191</v>
      </c>
      <c r="D70" s="15" t="s">
        <v>196</v>
      </c>
      <c r="E70" s="33" t="n">
        <v>1250</v>
      </c>
      <c r="F70" s="17" t="s">
        <v>259</v>
      </c>
    </row>
    <row r="71" customFormat="false" ht="15" hidden="false" customHeight="false" outlineLevel="0" collapsed="false">
      <c r="A71" s="34" t="s">
        <v>260</v>
      </c>
      <c r="B71" s="35" t="s">
        <v>144</v>
      </c>
      <c r="C71" s="35" t="s">
        <v>191</v>
      </c>
      <c r="D71" s="35" t="s">
        <v>196</v>
      </c>
      <c r="E71" s="36" t="n">
        <v>750</v>
      </c>
      <c r="F71" s="37" t="s">
        <v>261</v>
      </c>
    </row>
    <row r="72" customFormat="false" ht="15" hidden="false" customHeight="false" outlineLevel="0" collapsed="false">
      <c r="A72" s="32" t="s">
        <v>57</v>
      </c>
      <c r="B72" s="15" t="s">
        <v>144</v>
      </c>
      <c r="C72" s="15" t="s">
        <v>262</v>
      </c>
      <c r="D72" s="15" t="s">
        <v>263</v>
      </c>
      <c r="E72" s="33" t="n">
        <v>1750</v>
      </c>
      <c r="F72" s="17" t="s">
        <v>264</v>
      </c>
    </row>
    <row r="73" customFormat="false" ht="15" hidden="false" customHeight="false" outlineLevel="0" collapsed="false">
      <c r="A73" s="34" t="s">
        <v>265</v>
      </c>
      <c r="B73" s="35" t="s">
        <v>144</v>
      </c>
      <c r="C73" s="35" t="s">
        <v>262</v>
      </c>
      <c r="D73" s="35" t="s">
        <v>266</v>
      </c>
      <c r="E73" s="36" t="n">
        <v>1750</v>
      </c>
      <c r="F73" s="37" t="s">
        <v>267</v>
      </c>
    </row>
    <row r="74" customFormat="false" ht="15" hidden="false" customHeight="false" outlineLevel="0" collapsed="false">
      <c r="A74" s="32" t="s">
        <v>58</v>
      </c>
      <c r="B74" s="15" t="s">
        <v>144</v>
      </c>
      <c r="C74" s="15" t="s">
        <v>262</v>
      </c>
      <c r="D74" s="15" t="s">
        <v>266</v>
      </c>
      <c r="E74" s="33" t="n">
        <v>1250</v>
      </c>
      <c r="F74" s="17" t="s">
        <v>268</v>
      </c>
    </row>
    <row r="75" customFormat="false" ht="15" hidden="false" customHeight="false" outlineLevel="0" collapsed="false">
      <c r="A75" s="34" t="s">
        <v>59</v>
      </c>
      <c r="B75" s="35" t="s">
        <v>144</v>
      </c>
      <c r="C75" s="35" t="s">
        <v>269</v>
      </c>
      <c r="D75" s="35" t="s">
        <v>270</v>
      </c>
      <c r="E75" s="36" t="n">
        <v>0.7</v>
      </c>
      <c r="F75" s="37" t="s">
        <v>271</v>
      </c>
    </row>
    <row r="76" customFormat="false" ht="15" hidden="false" customHeight="false" outlineLevel="0" collapsed="false">
      <c r="A76" s="32" t="s">
        <v>60</v>
      </c>
      <c r="B76" s="15" t="s">
        <v>144</v>
      </c>
      <c r="C76" s="15" t="s">
        <v>269</v>
      </c>
      <c r="D76" s="15" t="s">
        <v>272</v>
      </c>
      <c r="E76" s="33" t="n">
        <v>185</v>
      </c>
      <c r="F76" s="17" t="s">
        <v>273</v>
      </c>
    </row>
    <row r="77" customFormat="false" ht="15" hidden="false" customHeight="false" outlineLevel="0" collapsed="false">
      <c r="A77" s="34" t="s">
        <v>61</v>
      </c>
      <c r="B77" s="35" t="s">
        <v>144</v>
      </c>
      <c r="C77" s="35" t="s">
        <v>269</v>
      </c>
      <c r="D77" s="35" t="s">
        <v>266</v>
      </c>
      <c r="E77" s="36" t="n">
        <v>75</v>
      </c>
      <c r="F77" s="37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8"/>
  </cols>
  <sheetData>
    <row r="1" customFormat="false" ht="19.7" hidden="false" customHeight="false" outlineLevel="0" collapsed="false">
      <c r="A1" s="1" t="s">
        <v>275</v>
      </c>
    </row>
    <row r="2" customFormat="false" ht="15" hidden="false" customHeight="false" outlineLevel="0" collapsed="false">
      <c r="A2" s="2" t="s">
        <v>276</v>
      </c>
    </row>
    <row r="3" customFormat="false" ht="3" hidden="false" customHeight="true" outlineLevel="0" collapsed="false">
      <c r="A3" s="3"/>
      <c r="B3" s="3"/>
    </row>
    <row r="5" customFormat="false" ht="15" hidden="false" customHeight="false" outlineLevel="0" collapsed="false">
      <c r="A5" s="38" t="s">
        <v>277</v>
      </c>
    </row>
    <row r="6" customFormat="false" ht="23.85" hidden="false" customHeight="false" outlineLevel="0" collapsed="false">
      <c r="B6" s="39" t="s">
        <v>278</v>
      </c>
    </row>
    <row r="8" customFormat="false" ht="15" hidden="false" customHeight="false" outlineLevel="0" collapsed="false">
      <c r="A8" s="38" t="s">
        <v>279</v>
      </c>
    </row>
    <row r="9" customFormat="false" ht="15" hidden="false" customHeight="false" outlineLevel="0" collapsed="false">
      <c r="A9" s="10" t="s">
        <v>280</v>
      </c>
      <c r="B9" s="39" t="s">
        <v>281</v>
      </c>
    </row>
    <row r="10" customFormat="false" ht="15" hidden="false" customHeight="false" outlineLevel="0" collapsed="false">
      <c r="A10" s="10" t="s">
        <v>282</v>
      </c>
      <c r="B10" s="39" t="s">
        <v>283</v>
      </c>
    </row>
    <row r="11" customFormat="false" ht="15" hidden="false" customHeight="false" outlineLevel="0" collapsed="false">
      <c r="A11" s="10" t="s">
        <v>63</v>
      </c>
      <c r="B11" s="39" t="s">
        <v>284</v>
      </c>
    </row>
    <row r="12" customFormat="false" ht="15" hidden="false" customHeight="false" outlineLevel="0" collapsed="false">
      <c r="A12" s="10" t="s">
        <v>117</v>
      </c>
      <c r="B12" s="39" t="s">
        <v>285</v>
      </c>
    </row>
    <row r="14" customFormat="false" ht="15" hidden="false" customHeight="false" outlineLevel="0" collapsed="false">
      <c r="A14" s="38" t="s">
        <v>286</v>
      </c>
    </row>
    <row r="15" customFormat="false" ht="15" hidden="false" customHeight="false" outlineLevel="0" collapsed="false">
      <c r="A15" s="10" t="s">
        <v>287</v>
      </c>
      <c r="B15" s="39" t="s">
        <v>288</v>
      </c>
    </row>
    <row r="16" customFormat="false" ht="15" hidden="false" customHeight="false" outlineLevel="0" collapsed="false">
      <c r="A16" s="10" t="s">
        <v>289</v>
      </c>
      <c r="B16" s="39" t="s">
        <v>290</v>
      </c>
    </row>
    <row r="17" customFormat="false" ht="15" hidden="false" customHeight="false" outlineLevel="0" collapsed="false">
      <c r="A17" s="10" t="s">
        <v>291</v>
      </c>
      <c r="B17" s="39" t="s">
        <v>292</v>
      </c>
    </row>
    <row r="19" customFormat="false" ht="15" hidden="false" customHeight="false" outlineLevel="0" collapsed="false">
      <c r="A19" s="38" t="s">
        <v>293</v>
      </c>
    </row>
    <row r="20" customFormat="false" ht="15" hidden="false" customHeight="false" outlineLevel="0" collapsed="false">
      <c r="A20" s="10" t="s">
        <v>294</v>
      </c>
      <c r="B20" s="39" t="s">
        <v>295</v>
      </c>
    </row>
    <row r="21" customFormat="false" ht="15" hidden="false" customHeight="false" outlineLevel="0" collapsed="false">
      <c r="A21" s="10" t="s">
        <v>296</v>
      </c>
      <c r="B21" s="39" t="s">
        <v>297</v>
      </c>
    </row>
    <row r="22" customFormat="false" ht="15" hidden="false" customHeight="false" outlineLevel="0" collapsed="false">
      <c r="A22" s="10" t="s">
        <v>298</v>
      </c>
      <c r="B22" s="39" t="s">
        <v>299</v>
      </c>
    </row>
    <row r="23" customFormat="false" ht="15" hidden="false" customHeight="false" outlineLevel="0" collapsed="false">
      <c r="A23" s="10" t="s">
        <v>300</v>
      </c>
      <c r="B23" s="39" t="s">
        <v>301</v>
      </c>
    </row>
    <row r="24" customFormat="false" ht="15" hidden="false" customHeight="false" outlineLevel="0" collapsed="false">
      <c r="A24" s="10" t="s">
        <v>302</v>
      </c>
      <c r="B24" s="39" t="s">
        <v>303</v>
      </c>
    </row>
    <row r="26" customFormat="false" ht="15" hidden="false" customHeight="false" outlineLevel="0" collapsed="false">
      <c r="A26" s="38" t="s">
        <v>304</v>
      </c>
    </row>
    <row r="27" customFormat="false" ht="15" hidden="false" customHeight="false" outlineLevel="0" collapsed="false">
      <c r="B27" s="39" t="s">
        <v>305</v>
      </c>
    </row>
    <row r="28" customFormat="false" ht="15" hidden="false" customHeight="false" outlineLevel="0" collapsed="false">
      <c r="B28" s="39" t="s">
        <v>306</v>
      </c>
    </row>
    <row r="29" customFormat="false" ht="15" hidden="false" customHeight="false" outlineLevel="0" collapsed="false">
      <c r="B29" s="39" t="s">
        <v>307</v>
      </c>
    </row>
    <row r="30" customFormat="false" ht="15" hidden="false" customHeight="false" outlineLevel="0" collapsed="false">
      <c r="B30" s="39" t="s">
        <v>308</v>
      </c>
    </row>
    <row r="31" customFormat="false" ht="15" hidden="false" customHeight="false" outlineLevel="0" collapsed="false">
      <c r="B31" s="39" t="s">
        <v>309</v>
      </c>
    </row>
    <row r="32" customFormat="false" ht="15" hidden="false" customHeight="false" outlineLevel="0" collapsed="false">
      <c r="B32" s="39" t="s">
        <v>310</v>
      </c>
    </row>
    <row r="34" customFormat="false" ht="15" hidden="false" customHeight="false" outlineLevel="0" collapsed="false">
      <c r="A34" s="38" t="s">
        <v>311</v>
      </c>
    </row>
    <row r="35" customFormat="false" ht="15" hidden="false" customHeight="false" outlineLevel="0" collapsed="false">
      <c r="A35" s="10" t="s">
        <v>312</v>
      </c>
      <c r="B35" s="39" t="s">
        <v>313</v>
      </c>
    </row>
    <row r="36" customFormat="false" ht="15" hidden="false" customHeight="false" outlineLevel="0" collapsed="false">
      <c r="A36" s="10" t="s">
        <v>314</v>
      </c>
      <c r="B36" s="39" t="s">
        <v>315</v>
      </c>
    </row>
    <row r="37" customFormat="false" ht="15" hidden="false" customHeight="false" outlineLevel="0" collapsed="false">
      <c r="A37" s="10" t="s">
        <v>316</v>
      </c>
      <c r="B37" s="39" t="s">
        <v>317</v>
      </c>
    </row>
    <row r="38" customFormat="false" ht="15" hidden="false" customHeight="false" outlineLevel="0" collapsed="false">
      <c r="A38" s="10" t="s">
        <v>318</v>
      </c>
      <c r="B38" s="39" t="s">
        <v>319</v>
      </c>
    </row>
    <row r="40" customFormat="false" ht="15" hidden="false" customHeight="false" outlineLevel="0" collapsed="false">
      <c r="A40" s="38" t="s">
        <v>320</v>
      </c>
    </row>
    <row r="41" customFormat="false" ht="23.85" hidden="false" customHeight="false" outlineLevel="0" collapsed="false">
      <c r="B41" s="39" t="s">
        <v>321</v>
      </c>
    </row>
    <row r="43" customFormat="false" ht="15" hidden="false" customHeight="false" outlineLevel="0" collapsed="false">
      <c r="A43" s="40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2026-08-14T21:05:15Z</dcterms:created>
  <dc:creator>openpyxl</dc:creator>
  <dc:description/>
  <dc:language>en-US</dc:language>
  <cp:lastModifiedBy/>
  <dcterms:modified xsi:type="dcterms:W3CDTF">2026-08-14T21:05:15Z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